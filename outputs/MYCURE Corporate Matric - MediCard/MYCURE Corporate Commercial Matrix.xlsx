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Matrix" sheetId="1" r:id="rId5"/>
    <sheet state="visible" name="Sheet1" sheetId="2" r:id="rId6"/>
    <sheet state="visible" name="Timeline Comparison" sheetId="3" r:id="rId7"/>
    <sheet state="visible" name="5-Year TCO" sheetId="4" r:id="rId8"/>
    <sheet state="visible" name="Model Comparison" sheetId="5" r:id="rId9"/>
  </sheets>
  <definedNames/>
  <calcPr/>
</workbook>
</file>

<file path=xl/sharedStrings.xml><?xml version="1.0" encoding="utf-8"?>
<sst xmlns="http://schemas.openxmlformats.org/spreadsheetml/2006/main" count="217" uniqueCount="172">
  <si>
    <t>MYCURE Corporate Clinic Ecosystem — Commercial Model Matrix</t>
  </si>
  <si>
    <t>First 100 Clinics Lock-In Offer — Discounted Pricing Options (Indicative)</t>
  </si>
  <si>
    <t>Category</t>
  </si>
  <si>
    <t>Module / Item</t>
  </si>
  <si>
    <t>Model 1
Perpetual License
MediCard Hosting</t>
  </si>
  <si>
    <t>Model 2
Corporate Service Plan
MediCard Hosting</t>
  </si>
  <si>
    <t>Model 3
Corporate Service Plan
MYCURE Hosting</t>
  </si>
  <si>
    <t>Notes / Assumptions</t>
  </si>
  <si>
    <t>CORPORATE CLINIC CORE</t>
  </si>
  <si>
    <t>Core
Modules</t>
  </si>
  <si>
    <t>Core Package
(Corporate EMR + clinic ops)</t>
  </si>
  <si>
    <r>
      <rPr>
        <rFont val="Arial"/>
        <b/>
        <color rgb="FF0057B8"/>
        <sz val="12.0"/>
      </rPr>
      <t xml:space="preserve">₱280,000
Promo lock-in
</t>
    </r>
    <r>
      <rPr>
        <rFont val="Arial"/>
        <b/>
        <color rgb="FFFF0000"/>
        <sz val="12.0"/>
      </rPr>
      <t>Post-promo: ₱300,000</t>
    </r>
  </si>
  <si>
    <r>
      <rPr>
        <rFont val="Arial"/>
        <b/>
        <color rgb="FF0057B8"/>
        <sz val="12.0"/>
      </rPr>
      <t xml:space="preserve">₱6,000 / clinic / month
Promo lock-in
</t>
    </r>
    <r>
      <rPr>
        <rFont val="Arial"/>
        <b/>
        <color rgb="FFFF0000"/>
        <sz val="12.0"/>
      </rPr>
      <t xml:space="preserve">Post-promo: ₱8,000
</t>
    </r>
    <r>
      <rPr>
        <rFont val="Arial"/>
        <b/>
        <color rgb="FF0057B8"/>
        <sz val="12.0"/>
      </rPr>
      <t>200 per day* just a note
or Bulk Pricing
1 clinic - 12.5k
10 clinics - 20% off</t>
    </r>
  </si>
  <si>
    <r>
      <rPr>
        <rFont val="Arial"/>
        <b/>
        <color rgb="FF0057B8"/>
        <sz val="12.0"/>
      </rPr>
      <t xml:space="preserve">₱10,000 / clinic / month
Promo lock-in
</t>
    </r>
    <r>
      <rPr>
        <rFont val="Arial"/>
        <b/>
        <color rgb="FFFF0000"/>
        <sz val="12.0"/>
      </rPr>
      <t xml:space="preserve">Post-promo: ₱13,000
</t>
    </r>
    <r>
      <rPr>
        <rFont val="Arial"/>
        <b/>
        <color rgb="FF0057B8"/>
        <sz val="12.0"/>
      </rPr>
      <t xml:space="preserve">MYCURE Basic - 18,000
+add ons 25-30k </t>
    </r>
  </si>
  <si>
    <t>Current figures are first-100-clinic lock-in rates. Post-promo rates are shown in the same cells for quick comparison.</t>
  </si>
  <si>
    <t>Corporate EMR
Includes extensive medical records, Exams &amp; Certificates Hub, and Diagnostics Bridge</t>
  </si>
  <si>
    <t>Included</t>
  </si>
  <si>
    <t>One consolidated clinical record layer covering consult history, certificates, exam workflows, diagnostics results, and corporate clinic documentation.</t>
  </si>
  <si>
    <t>Attendance Management</t>
  </si>
  <si>
    <t>Clinic team attendance, logs, and operating visibility.</t>
  </si>
  <si>
    <t>Clinic Insights Dashboard</t>
  </si>
  <si>
    <t>Operational and clinical trend views for corporate clinic monitoring.</t>
  </si>
  <si>
    <t>Lock-in mechanics</t>
  </si>
  <si>
    <t>First 100 clinics reserved at promo rate</t>
  </si>
  <si>
    <t>Post-promo pricing applies to new clinics or commitments made after the offer expires.</t>
  </si>
  <si>
    <t>OPTIONAL ADD-ON PACKS (per clinic)</t>
  </si>
  <si>
    <t>Add-On</t>
  </si>
  <si>
    <t>Workplace Health
Compliance Pack</t>
  </si>
  <si>
    <t>OSH/DOLE documentation &amp; reporting support</t>
  </si>
  <si>
    <t>Corporate &amp; HR
Health Insights Pack</t>
  </si>
  <si>
    <t>Privacy-conscious HR portal, FTW status, trends</t>
  </si>
  <si>
    <t>Pharmacy &amp;
Supplies Pack</t>
  </si>
  <si>
    <t>Stock tracking, expiry alerts, dispensing logs</t>
  </si>
  <si>
    <t>Syncbase</t>
  </si>
  <si>
    <t>Integration/sync layer add-on; commercial rate to be finalized.</t>
  </si>
  <si>
    <t>RECURRING FEES</t>
  </si>
  <si>
    <t>Recurring</t>
  </si>
  <si>
    <t>Annual Maintenance
&amp; Support (AMS)</t>
  </si>
  <si>
    <t>20% of license value
per year</t>
  </si>
  <si>
    <t>Included in
managed service</t>
  </si>
  <si>
    <t>Included in
managed cloud service</t>
  </si>
  <si>
    <t>Perpetual model: AMS billed separately.
Managed service plans: updates, support, security included.</t>
  </si>
  <si>
    <t>Hosting /
Infrastructure</t>
  </si>
  <si>
    <t>MediCard's cost
(own infra)</t>
  </si>
  <si>
    <t>Model 3: MYCURE absorbs hosting.
Models 1 &amp; 2: MediCard provisions servers.</t>
  </si>
  <si>
    <t>IMPLEMENTATION &amp; TRAINING</t>
  </si>
  <si>
    <t>Services</t>
  </si>
  <si>
    <t>Implementation Package
(first 50 clinics)</t>
  </si>
  <si>
    <t>Implementation fee covers the first 50 clinics, including pilot setup, onboarding, training, rollout support, and hypercare. Model 3 remains higher due to security review, DPA setup, and cloud migration scoping.</t>
  </si>
  <si>
    <t>Per Additional Clinic
Onboarding</t>
  </si>
  <si>
    <t>Model 3 lower per-clinic onboarding
since infra is pre-provisioned.</t>
  </si>
  <si>
    <t>Bulk</t>
  </si>
  <si>
    <t>MediCard Hosting</t>
  </si>
  <si>
    <t>1 clinic</t>
  </si>
  <si>
    <t>10-49 clinics</t>
  </si>
  <si>
    <t>50-99</t>
  </si>
  <si>
    <t>100-149</t>
  </si>
  <si>
    <t>150&gt;</t>
  </si>
  <si>
    <t>Optional Training</t>
  </si>
  <si>
    <t>Implementation Timeline Comparison by Commercial Model</t>
  </si>
  <si>
    <t>Models 1 &amp; 2 can reach first pilot clinic go-live in ~3-4 weeks under a fast-track path: pilot authorization via LOA/SOW, MediCard hosting ready in Week 1, no custom development before pilot, and initial pilot scope limited to 1-3 clinics. Model 3 remains longer due to MYCURE-hosted security checks, VAPT, TPSA/vendor risk review, DPA/SLA, and cloud onboarding, but can be contained with parallel review workstreams.</t>
  </si>
  <si>
    <t>Phase / Activity</t>
  </si>
  <si>
    <t>Model 1
Perpetual
MediCard Hosting</t>
  </si>
  <si>
    <t>Key Dependencies / Notes</t>
  </si>
  <si>
    <t>CONTRACT &amp; PROCUREMENT</t>
  </si>
  <si>
    <t>Pilot SOW / LOA /
commercial sign-off</t>
  </si>
  <si>
    <t>3-5 business days</t>
  </si>
  <si>
    <t>4-6 weeks</t>
  </si>
  <si>
    <t>Models 1 &amp; 2: use pilot authorization while long-form contract continues in parallel. Model 3 requires hosted-service legal/security clauses, but these can run alongside security review.</t>
  </si>
  <si>
    <t>Security, VAPT, TPSA /
vendor risk review</t>
  </si>
  <si>
    <t>Deployment checklist only
(app ready; MediCard hosts)</t>
  </si>
  <si>
    <t>4-6 weeks
(security-gated)</t>
  </si>
  <si>
    <t>Models 1 &amp; 2 avoid full MYCURE-cloud review because MediCard hosts. Model 3 requires VAPT/TPSA/vendor risk review, but target a focused pilot approval path rather than enterprise-wide clearance upfront.</t>
  </si>
  <si>
    <t>READINESS &amp; ENABLEMENT</t>
  </si>
  <si>
    <t>Hosting / environment
readiness</t>
  </si>
  <si>
    <t>3-5 business days
(MediCard ready by Week 1)</t>
  </si>
  <si>
    <t>1-2 weeks
(MYCURE provisions)</t>
  </si>
  <si>
    <t>Fast-track requirement: MediCard provides server/cloud environment, database, network/VPN or Tailscale access, backups, and admin access within Week 1. Model 3 cloud setup can proceed in parallel after initial security alignment.</t>
  </si>
  <si>
    <t>Training &amp; operating
model alignment</t>
  </si>
  <si>
    <t>3-5 business days
(parallel)</t>
  </si>
  <si>
    <t>1-2 weeks
(parallel)</t>
  </si>
  <si>
    <t>Train-the-trainer and role-based sessions run in parallel with setup, not after setup.</t>
  </si>
  <si>
    <t>PILOT ROLLOUT</t>
  </si>
  <si>
    <t>Program setup &amp;
platform configuration</t>
  </si>
  <si>
    <t>1-2 weeks</t>
  </si>
  <si>
    <t>Models 1 &amp; 2 use ready MYCURE baseline with no custom development before pilot. Model 3 uses the same baseline after hosted controls are approved.</t>
  </si>
  <si>
    <t>First pilot clinic
(1-3 sites)</t>
  </si>
  <si>
    <t>Week 3-4</t>
  </si>
  <si>
    <t>Week 10-14</t>
  </si>
  <si>
    <t>Initial pilot scope is intentionally tight. Model 3 starts later, but can still avoid a long delay if VAPT/TPSA and DPA/SLA activities are run in parallel.</t>
  </si>
  <si>
    <t>WAVE ROLLOUT</t>
  </si>
  <si>
    <t>Subsequent clinic waves
(batches of 10-20)</t>
  </si>
  <si>
    <t>2-3 weeks
per wave</t>
  </si>
  <si>
    <t>Per-clinic onboarding remains standardized once pilot workflow, training, and support paths are stable.</t>
  </si>
  <si>
    <t>TOTAL ESTIMATED TIMELINE</t>
  </si>
  <si>
    <t>Contract to first pilot
clinic go-live</t>
  </si>
  <si>
    <t>~3-4 weeks
(fast-track)</t>
  </si>
  <si>
    <t>~10-14 weeks</t>
  </si>
  <si>
    <t>Models 1 &amp; 2 require LOA/SOW, Week 1 hosting readiness, no custom development, and 1-3 clinic pilot scope. Model 3 remains longer, but targeted at ~10-14 weeks with parallel security/legal workstreams.</t>
  </si>
  <si>
    <t>Contract to full 150-clinic
rollout completion</t>
  </si>
  <si>
    <t>~5-9 months</t>
  </si>
  <si>
    <t>~8-12 months</t>
  </si>
  <si>
    <t>Fast-track first pilot can pull the front end forward. Model 3 remains longer due to hosted-security approval, but not proportionally delayed once the cloud service is cleared.</t>
  </si>
  <si>
    <t>5-Year Total Cost of Ownership (TCO) — Per Clinic (Core Only)</t>
  </si>
  <si>
    <t>Indicative figures using first-100-clinic lock-in rates. Excludes add-on packs, implementation, and hosting infra costs for Models 1 &amp; 2.</t>
  </si>
  <si>
    <t>Cost Component</t>
  </si>
  <si>
    <t>Notes</t>
  </si>
  <si>
    <t>ASSUMPTIONS</t>
  </si>
  <si>
    <t>Core license (one-time promo)</t>
  </si>
  <si>
    <t>N/A</t>
  </si>
  <si>
    <t>Discounted lock-in rate; post-promo list rate is ₱300,000</t>
  </si>
  <si>
    <t>Managed service fee (monthly promo)</t>
  </si>
  <si>
    <t>Discounted lock-in rates; post-promo list rates are ₱15,000 and ₱13,000 per clinic/month</t>
  </si>
  <si>
    <t>5-YEAR COST BREAKDOWN (per clinic, Core only)</t>
  </si>
  <si>
    <t>Year 1</t>
  </si>
  <si>
    <t>Year 2</t>
  </si>
  <si>
    <t>M1: AMS only. M2/M3: 12 months managed service.</t>
  </si>
  <si>
    <t>Year 3</t>
  </si>
  <si>
    <t>Year 4</t>
  </si>
  <si>
    <t>Year 5</t>
  </si>
  <si>
    <t>5-YEAR TOTAL (per clinic)</t>
  </si>
  <si>
    <t>₱560,000</t>
  </si>
  <si>
    <t>₱720,000</t>
  </si>
  <si>
    <t>₱600,000</t>
  </si>
  <si>
    <t>Effective monthly cost
(over 60 months)</t>
  </si>
  <si>
    <t>₱9,333</t>
  </si>
  <si>
    <t>₱12,000</t>
  </si>
  <si>
    <t>₱10,000</t>
  </si>
  <si>
    <t>Amortized monthly for comparison only.
Does not include hosting infra for M1/M2.</t>
  </si>
  <si>
    <t>Commercial Model Comparison — Quick Reference</t>
  </si>
  <si>
    <t>Dimension</t>
  </si>
  <si>
    <t>Upfront investment</t>
  </si>
  <si>
    <t>Highest
(full license + implementation)</t>
  </si>
  <si>
    <t>Low
(implementation only)</t>
  </si>
  <si>
    <t>Low
(implementation only,
slightly higher due to
security/migration)</t>
  </si>
  <si>
    <t>Monthly cash outflow</t>
  </si>
  <si>
    <t>None
(AMS billed annually)</t>
  </si>
  <si>
    <t>Predictable
managed service fee
(₱12,000/clinic)</t>
  </si>
  <si>
    <t>Predictable
managed cloud service fee
(₱10,000/clinic)</t>
  </si>
  <si>
    <t>5-Year TCO
(Core only, per clinic)</t>
  </si>
  <si>
    <t>Middle before
MediCard hosting infra</t>
  </si>
  <si>
    <t>Highest before
MediCard hosting infra</t>
  </si>
  <si>
    <t>High, with
MYCURE hosting included</t>
  </si>
  <si>
    <t>Hosting responsibility</t>
  </si>
  <si>
    <t>MediCard IT
(servers, backups, uptime)</t>
  </si>
  <si>
    <t>MYCURE
(fully managed cloud)</t>
  </si>
  <si>
    <t>Data residency</t>
  </si>
  <si>
    <t>MediCard-controlled
(on-prem or own cloud)</t>
  </si>
  <si>
    <t>MYCURE cloud
(PH-based, subject to
DPA and SLA)</t>
  </si>
  <si>
    <t>Security review
effort for MediCard</t>
  </si>
  <si>
    <t>Light
(app ready; internal path)</t>
  </si>
  <si>
    <t>Moderate-Extended
(VAPT, TPSA, DPA/SLA,
cloud review)</t>
  </si>
  <si>
    <t>Time to first
pilot go-live</t>
  </si>
  <si>
    <t>~10-14 weeks
(hosted-security path)</t>
  </si>
  <si>
    <t>Scalability
(adding clinics)</t>
  </si>
  <si>
    <t>Requires MediCard
to provision infra
per batch</t>
  </si>
  <si>
    <t>Elastic — MYCURE
scales cloud resources
on demand</t>
  </si>
  <si>
    <t>Software ownership
after contract ends</t>
  </si>
  <si>
    <t>MediCard retains
perpetual license
(last version at exit)</t>
  </si>
  <si>
    <t>Managed access ends
when service stops</t>
  </si>
  <si>
    <t>Best fit for</t>
  </si>
  <si>
    <t>MediCard prefers
full ownership &amp;
control of data/infra</t>
  </si>
  <si>
    <t>MediCard wants
predictable OPEX
but controls infra</t>
  </si>
  <si>
    <t>MediCard wants
lowest upfront +
fully managed service</t>
  </si>
  <si>
    <t>Risk to MYCURE</t>
  </si>
  <si>
    <t>Revenue front-loaded;
relies on AMS renewals</t>
  </si>
  <si>
    <t>Predictable recurring;
churn risk</t>
  </si>
  <si>
    <t>Highest recurring;
hosting cost exposure;
strongest lock-in</t>
  </si>
  <si>
    <t>Risk to MediCard</t>
  </si>
  <si>
    <t>Capex-heavy;
infra maintenance
burden</t>
  </si>
  <si>
    <t>Infra maintenance
burden remains;
managed-service lock-in</t>
  </si>
  <si>
    <t>Vendor dependency;
data residency concerns;
security-gated onboarding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</si>
</sst>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₱#,##0"/>
  </numFmts>
  <fonts count="23">
    <font>
      <sz val="11.0"/>
      <color theme="1"/>
      <name val="Calibri"/>
      <scheme val="minor"/>
    </font>
    <font>
      <b/>
      <sz val="18.0"/>
      <color rgb="FF0B3F75"/>
      <name val="Play"/>
    </font>
    <font/>
    <font>
      <i/>
      <sz val="10.0"/>
      <color rgb="FF5F6B7A"/>
      <name val="Aptos"/>
    </font>
    <font>
      <sz val="11.0"/>
      <color rgb="FF111827"/>
      <name val="Aptos"/>
    </font>
    <font>
      <b/>
      <sz val="12.0"/>
      <color rgb="FFFFFFFF"/>
      <name val="Aptos"/>
    </font>
    <font>
      <b/>
      <sz val="12.0"/>
      <color rgb="FFFFFFFF"/>
      <name val="Arial"/>
    </font>
    <font>
      <b/>
      <sz val="11.0"/>
      <color rgb="FF062B3A"/>
      <name val="Aptos"/>
    </font>
    <font>
      <b/>
      <sz val="11.0"/>
      <color rgb="FF111827"/>
      <name val="Aptos"/>
    </font>
    <font>
      <b/>
      <sz val="12.0"/>
      <color rgb="FF0057B8"/>
      <name val="Aptos"/>
    </font>
    <font>
      <b/>
      <sz val="12.0"/>
      <color rgb="FF0057B8"/>
      <name val="Arial"/>
    </font>
    <font>
      <sz val="11.0"/>
      <color rgb="FF111827"/>
      <name val="Arial"/>
    </font>
    <font>
      <b/>
      <sz val="11.0"/>
      <color rgb="FF0B3F75"/>
      <name val="Aptos"/>
    </font>
    <font>
      <b/>
      <sz val="11.0"/>
      <color rgb="FF0057B8"/>
      <name val="Aptos"/>
    </font>
    <font>
      <b/>
      <sz val="11.0"/>
      <color rgb="FF000000"/>
      <name val="Aptos"/>
    </font>
    <font>
      <i/>
      <sz val="11.0"/>
      <color rgb="FF5F6B7A"/>
      <name val="Aptos"/>
    </font>
    <font>
      <sz val="11.0"/>
      <color theme="1"/>
      <name val="Calibri"/>
    </font>
    <font>
      <b/>
      <sz val="11.0"/>
      <color rgb="FF111827"/>
      <name val="Arial"/>
    </font>
    <font>
      <color theme="1"/>
      <name val="Calibri"/>
      <scheme val="minor"/>
    </font>
    <font>
      <b/>
      <sz val="11.0"/>
      <color rgb="FF166534"/>
      <name val="Aptos"/>
    </font>
    <font>
      <b/>
      <sz val="11.0"/>
      <color rgb="FF7A1D1D"/>
      <name val="Aptos"/>
    </font>
    <font>
      <b/>
      <sz val="11.0"/>
      <color rgb="FF5F6B7A"/>
      <name val="Aptos"/>
    </font>
    <font>
      <b/>
      <sz val="11.0"/>
      <color rgb="FF111827"/>
      <name val="&quot;Aptos Narrow&quot;"/>
    </font>
  </fonts>
  <fills count="11">
    <fill>
      <patternFill patternType="none"/>
    </fill>
    <fill>
      <patternFill patternType="lightGray"/>
    </fill>
    <fill>
      <patternFill patternType="solid">
        <fgColor rgb="FF0B3F75"/>
        <bgColor rgb="FF0B3F75"/>
      </patternFill>
    </fill>
    <fill>
      <patternFill patternType="solid">
        <fgColor rgb="FF78D3DF"/>
        <bgColor rgb="FF78D3DF"/>
      </patternFill>
    </fill>
    <fill>
      <patternFill patternType="solid">
        <fgColor rgb="FFDDF4F7"/>
        <bgColor rgb="FFDDF4F7"/>
      </patternFill>
    </fill>
    <fill>
      <patternFill patternType="solid">
        <fgColor rgb="FFF8FAFC"/>
        <bgColor rgb="FFF8FAFC"/>
      </patternFill>
    </fill>
    <fill>
      <patternFill patternType="solid">
        <fgColor rgb="FFFFF3CC"/>
        <bgColor rgb="FFFFF3CC"/>
      </patternFill>
    </fill>
    <fill>
      <patternFill patternType="solid">
        <fgColor rgb="FFDCFCE7"/>
        <bgColor rgb="FFDCFCE7"/>
      </patternFill>
    </fill>
    <fill>
      <patternFill patternType="solid">
        <fgColor rgb="FFFFFFFF"/>
        <bgColor rgb="FFFFFFFF"/>
      </patternFill>
    </fill>
    <fill>
      <patternFill patternType="solid">
        <fgColor rgb="FFFFE8E8"/>
        <bgColor rgb="FFFFE8E8"/>
      </patternFill>
    </fill>
    <fill>
      <patternFill patternType="solid">
        <fgColor rgb="FFF2F2F2"/>
        <bgColor rgb="FFF2F2F2"/>
      </patternFill>
    </fill>
  </fills>
  <borders count="14">
    <border/>
    <border>
      <bottom style="thin">
        <color rgb="FFD7DEE8"/>
      </bottom>
    </border>
    <border>
      <right style="thin">
        <color rgb="FFD7DEE8"/>
      </right>
      <bottom style="thin">
        <color rgb="FFD7DEE8"/>
      </bottom>
    </border>
    <border>
      <top style="thin">
        <color rgb="FFD7DEE8"/>
      </top>
    </border>
    <border>
      <right style="thin">
        <color rgb="FFD7DEE8"/>
      </right>
      <top style="thin">
        <color rgb="FFD7DEE8"/>
      </top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9AC6CE"/>
      </left>
      <top style="thin">
        <color rgb="FF9AC6CE"/>
      </top>
      <bottom style="thin">
        <color rgb="FF9AC6CE"/>
      </bottom>
    </border>
    <border>
      <top style="thin">
        <color rgb="FF9AC6CE"/>
      </top>
      <bottom style="thin">
        <color rgb="FF9AC6CE"/>
      </bottom>
    </border>
    <border>
      <right style="thin">
        <color rgb="FF9AC6CE"/>
      </right>
      <top style="thin">
        <color rgb="FF9AC6CE"/>
      </top>
      <bottom style="thin">
        <color rgb="FF9AC6CE"/>
      </bottom>
    </border>
    <border>
      <left style="thin">
        <color rgb="FFD7DEE8"/>
      </left>
      <right style="thin">
        <color rgb="FFD7DEE8"/>
      </right>
      <bottom style="thin">
        <color rgb="FFD7DEE8"/>
      </bottom>
    </border>
    <border>
      <left style="thin">
        <color rgb="FFD7DEE8"/>
      </left>
      <bottom style="thin">
        <color rgb="FFD7DEE8"/>
      </bottom>
    </border>
    <border>
      <left style="thin">
        <color rgb="FFD7DEE8"/>
      </left>
      <right style="thin">
        <color rgb="FFD7DEE8"/>
      </right>
      <top style="thin">
        <color rgb="FFD7DEE8"/>
      </top>
    </border>
    <border>
      <left style="thin">
        <color rgb="FFD7DEE8"/>
      </left>
      <top style="thin">
        <color rgb="FFD7DEE8"/>
      </top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3" numFmtId="0" xfId="0" applyAlignment="1" applyBorder="1" applyFont="1">
      <alignment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4" numFmtId="0" xfId="0" applyAlignment="1" applyBorder="1" applyFont="1">
      <alignment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6" fillId="2" fontId="6" numFmtId="0" xfId="0" applyAlignment="1" applyBorder="1" applyFont="1">
      <alignment horizontal="center" readingOrder="0" shrinkToFit="0" vertical="center" wrapText="1"/>
    </xf>
    <xf borderId="7" fillId="3" fontId="7" numFmtId="0" xfId="0" applyAlignment="1" applyBorder="1" applyFill="1" applyFont="1">
      <alignment horizontal="left" shrinkToFit="0" vertical="center" wrapText="1"/>
    </xf>
    <xf borderId="8" fillId="0" fontId="2" numFmtId="0" xfId="0" applyBorder="1" applyFont="1"/>
    <xf borderId="9" fillId="0" fontId="2" numFmtId="0" xfId="0" applyBorder="1" applyFont="1"/>
    <xf borderId="5" fillId="0" fontId="8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9" numFmtId="164" xfId="0" applyAlignment="1" applyBorder="1" applyFont="1" applyNumberFormat="1">
      <alignment horizontal="center" readingOrder="0" shrinkToFit="0" vertical="center" wrapText="1"/>
    </xf>
    <xf borderId="5" fillId="0" fontId="10" numFmtId="164" xfId="0" applyAlignment="1" applyBorder="1" applyFont="1" applyNumberFormat="1">
      <alignment horizontal="center" readingOrder="0" shrinkToFit="0" vertical="center" wrapText="1"/>
    </xf>
    <xf borderId="5" fillId="4" fontId="11" numFmtId="0" xfId="0" applyAlignment="1" applyBorder="1" applyFill="1" applyFont="1">
      <alignment horizontal="left" readingOrder="0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5" fillId="5" fontId="4" numFmtId="0" xfId="0" applyAlignment="1" applyBorder="1" applyFill="1" applyFont="1">
      <alignment horizontal="left" shrinkToFit="0" vertical="center" wrapText="1"/>
    </xf>
    <xf borderId="5" fillId="6" fontId="12" numFmtId="0" xfId="0" applyAlignment="1" applyBorder="1" applyFill="1" applyFont="1">
      <alignment horizontal="left" shrinkToFit="0" vertical="center" wrapText="1"/>
    </xf>
    <xf borderId="5" fillId="6" fontId="13" numFmtId="0" xfId="0" applyAlignment="1" applyBorder="1" applyFont="1">
      <alignment horizontal="left" shrinkToFit="0" vertical="center" wrapText="1"/>
    </xf>
    <xf borderId="5" fillId="6" fontId="13" numFmtId="0" xfId="0" applyAlignment="1" applyBorder="1" applyFont="1">
      <alignment horizontal="center" shrinkToFit="0" vertical="center" wrapText="1"/>
    </xf>
    <xf borderId="5" fillId="6" fontId="4" numFmtId="0" xfId="0" applyAlignment="1" applyBorder="1" applyFont="1">
      <alignment horizontal="left" shrinkToFit="0" vertical="center" wrapText="1"/>
    </xf>
    <xf borderId="5" fillId="0" fontId="13" numFmtId="164" xfId="0" applyAlignment="1" applyBorder="1" applyFont="1" applyNumberFormat="1">
      <alignment horizontal="center" shrinkToFit="0" vertical="center" wrapText="1"/>
    </xf>
    <xf borderId="5" fillId="0" fontId="14" numFmtId="0" xfId="0" applyAlignment="1" applyBorder="1" applyFont="1">
      <alignment shrinkToFit="0" vertical="center" wrapText="1"/>
    </xf>
    <xf borderId="5" fillId="0" fontId="13" numFmtId="0" xfId="0" applyAlignment="1" applyBorder="1" applyFont="1">
      <alignment horizontal="left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2" fillId="0" fontId="15" numFmtId="0" xfId="0" applyAlignment="1" applyBorder="1" applyFont="1">
      <alignment shrinkToFit="0" vertical="center" wrapText="1"/>
    </xf>
    <xf borderId="10" fillId="0" fontId="15" numFmtId="0" xfId="0" applyAlignment="1" applyBorder="1" applyFont="1">
      <alignment shrinkToFit="0" vertical="center" wrapText="1"/>
    </xf>
    <xf borderId="11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center" wrapText="1"/>
    </xf>
    <xf borderId="12" fillId="0" fontId="15" numFmtId="0" xfId="0" applyAlignment="1" applyBorder="1" applyFont="1">
      <alignment shrinkToFit="0" vertical="center" wrapText="1"/>
    </xf>
    <xf borderId="13" fillId="0" fontId="15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vertical="center" wrapText="1"/>
    </xf>
    <xf borderId="5" fillId="0" fontId="17" numFmtId="0" xfId="0" applyAlignment="1" applyBorder="1" applyFont="1">
      <alignment horizontal="left" readingOrder="0" shrinkToFit="0" vertical="center" wrapText="1"/>
    </xf>
    <xf borderId="0" fillId="0" fontId="18" numFmtId="0" xfId="0" applyAlignment="1" applyFont="1">
      <alignment readingOrder="0"/>
    </xf>
    <xf borderId="1" fillId="0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5" fillId="7" fontId="4" numFmtId="0" xfId="0" applyAlignment="1" applyBorder="1" applyFill="1" applyFont="1">
      <alignment horizontal="center" shrinkToFit="0" vertical="center" wrapText="1"/>
    </xf>
    <xf borderId="5" fillId="8" fontId="4" numFmtId="0" xfId="0" applyAlignment="1" applyBorder="1" applyFill="1" applyFont="1">
      <alignment horizontal="center" shrinkToFit="0" vertical="center" wrapText="1"/>
    </xf>
    <xf borderId="5" fillId="9" fontId="4" numFmtId="0" xfId="0" applyAlignment="1" applyBorder="1" applyFill="1" applyFont="1">
      <alignment horizontal="center" shrinkToFit="0" vertical="center" wrapText="1"/>
    </xf>
    <xf borderId="5" fillId="6" fontId="8" numFmtId="0" xfId="0" applyAlignment="1" applyBorder="1" applyFont="1">
      <alignment horizontal="left" shrinkToFit="0" vertical="center" wrapText="1"/>
    </xf>
    <xf borderId="5" fillId="7" fontId="19" numFmtId="0" xfId="0" applyAlignment="1" applyBorder="1" applyFont="1">
      <alignment horizontal="center" shrinkToFit="0" vertical="center" wrapText="1"/>
    </xf>
    <xf borderId="5" fillId="6" fontId="20" numFmtId="0" xfId="0" applyAlignment="1" applyBorder="1" applyFont="1">
      <alignment horizontal="center" shrinkToFit="0" vertical="center" wrapText="1"/>
    </xf>
    <xf borderId="5" fillId="6" fontId="21" numFmtId="0" xfId="0" applyAlignment="1" applyBorder="1" applyFont="1">
      <alignment horizontal="left" shrinkToFit="0" vertical="center" wrapText="1"/>
    </xf>
    <xf borderId="5" fillId="7" fontId="8" numFmtId="0" xfId="0" applyAlignment="1" applyBorder="1" applyFont="1">
      <alignment horizontal="center" shrinkToFit="0" vertical="center" wrapText="1"/>
    </xf>
    <xf borderId="5" fillId="0" fontId="13" numFmtId="0" xfId="0" applyAlignment="1" applyBorder="1" applyFont="1">
      <alignment horizontal="center" shrinkToFit="0" vertical="center" wrapText="1"/>
    </xf>
    <xf borderId="5" fillId="0" fontId="11" numFmtId="164" xfId="0" applyAlignment="1" applyBorder="1" applyFont="1" applyNumberFormat="1">
      <alignment horizontal="center" readingOrder="0" shrinkToFit="0" vertical="center" wrapText="1"/>
    </xf>
    <xf borderId="5" fillId="6" fontId="22" numFmtId="164" xfId="0" applyAlignment="1" applyBorder="1" applyFont="1" applyNumberFormat="1">
      <alignment horizontal="center" readingOrder="0"/>
    </xf>
    <xf borderId="5" fillId="6" fontId="8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shrinkToFit="0" vertical="center" wrapText="1"/>
    </xf>
    <xf borderId="5" fillId="10" fontId="8" numFmtId="0" xfId="0" applyAlignment="1" applyBorder="1" applyFill="1" applyFont="1">
      <alignment horizontal="left" shrinkToFit="0" vertical="center" wrapText="1"/>
    </xf>
    <xf borderId="5" fillId="10" fontId="4" numFmtId="0" xfId="0" applyAlignment="1" applyBorder="1" applyFont="1">
      <alignment horizontal="center" shrinkToFit="0" vertical="center" wrapText="1"/>
    </xf>
    <xf borderId="5" fillId="9" fontId="2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7B6"/>
    <pageSetUpPr/>
  </sheetPr>
  <sheetViews>
    <sheetView showGridLines="0" workbookViewId="0"/>
  </sheetViews>
  <sheetFormatPr customHeight="1" defaultColWidth="14.43" defaultRowHeight="15.0"/>
  <cols>
    <col customWidth="1" min="1" max="1" width="18.86"/>
    <col customWidth="1" min="2" max="2" width="33.29"/>
    <col customWidth="1" min="3" max="3" width="41.86"/>
    <col customWidth="1" min="4" max="4" width="50.14"/>
    <col customWidth="1" min="5" max="5" width="54.71"/>
    <col customWidth="1" min="6" max="6" width="92.86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/>
      <c r="C2" s="5"/>
      <c r="D2" s="5"/>
      <c r="E2" s="5"/>
      <c r="F2" s="6"/>
    </row>
    <row r="3">
      <c r="A3" s="7"/>
      <c r="B3" s="7"/>
      <c r="C3" s="7"/>
      <c r="D3" s="7"/>
      <c r="E3" s="7"/>
      <c r="F3" s="7"/>
    </row>
    <row r="4" ht="67.5" customHeight="1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8" t="s">
        <v>7</v>
      </c>
    </row>
    <row r="5" ht="24.0" customHeight="1">
      <c r="A5" s="10" t="s">
        <v>8</v>
      </c>
      <c r="B5" s="11"/>
      <c r="C5" s="11"/>
      <c r="D5" s="11"/>
      <c r="E5" s="11"/>
      <c r="F5" s="12"/>
    </row>
    <row r="6" ht="66.0" customHeight="1">
      <c r="A6" s="13" t="s">
        <v>9</v>
      </c>
      <c r="B6" s="14" t="s">
        <v>10</v>
      </c>
      <c r="C6" s="15" t="s">
        <v>11</v>
      </c>
      <c r="D6" s="16" t="s">
        <v>12</v>
      </c>
      <c r="E6" s="15" t="s">
        <v>13</v>
      </c>
      <c r="F6" s="14" t="s">
        <v>14</v>
      </c>
    </row>
    <row r="7" ht="51.0" customHeight="1">
      <c r="A7" s="13"/>
      <c r="B7" s="17" t="s">
        <v>15</v>
      </c>
      <c r="C7" s="18" t="s">
        <v>16</v>
      </c>
      <c r="D7" s="18" t="s">
        <v>16</v>
      </c>
      <c r="E7" s="18" t="s">
        <v>16</v>
      </c>
      <c r="F7" s="19" t="s">
        <v>17</v>
      </c>
    </row>
    <row r="8" ht="51.0" customHeight="1">
      <c r="A8" s="13"/>
      <c r="B8" s="17" t="s">
        <v>18</v>
      </c>
      <c r="C8" s="18" t="s">
        <v>16</v>
      </c>
      <c r="D8" s="18" t="s">
        <v>16</v>
      </c>
      <c r="E8" s="18" t="s">
        <v>16</v>
      </c>
      <c r="F8" s="19" t="s">
        <v>19</v>
      </c>
    </row>
    <row r="9" ht="51.0" customHeight="1">
      <c r="A9" s="13"/>
      <c r="B9" s="17" t="s">
        <v>20</v>
      </c>
      <c r="C9" s="18" t="s">
        <v>16</v>
      </c>
      <c r="D9" s="18" t="s">
        <v>16</v>
      </c>
      <c r="E9" s="18" t="s">
        <v>16</v>
      </c>
      <c r="F9" s="19" t="s">
        <v>21</v>
      </c>
    </row>
    <row r="10" ht="43.5" customHeight="1">
      <c r="A10" s="20"/>
      <c r="B10" s="21" t="s">
        <v>22</v>
      </c>
      <c r="C10" s="22" t="s">
        <v>23</v>
      </c>
      <c r="D10" s="22" t="s">
        <v>23</v>
      </c>
      <c r="E10" s="22" t="s">
        <v>23</v>
      </c>
      <c r="F10" s="23" t="s">
        <v>24</v>
      </c>
    </row>
    <row r="11" ht="39.0" customHeight="1">
      <c r="A11" s="10" t="s">
        <v>25</v>
      </c>
      <c r="B11" s="11"/>
      <c r="C11" s="11"/>
      <c r="D11" s="11"/>
      <c r="E11" s="11"/>
      <c r="F11" s="12"/>
    </row>
    <row r="12" ht="39.0" customHeight="1">
      <c r="A12" s="13" t="s">
        <v>26</v>
      </c>
      <c r="B12" s="14" t="s">
        <v>27</v>
      </c>
      <c r="C12" s="24">
        <v>80000.0</v>
      </c>
      <c r="D12" s="24">
        <v>1800.0</v>
      </c>
      <c r="E12" s="24">
        <v>1600.0</v>
      </c>
      <c r="F12" s="14" t="s">
        <v>28</v>
      </c>
    </row>
    <row r="13" ht="39.0" customHeight="1">
      <c r="A13" s="13" t="s">
        <v>26</v>
      </c>
      <c r="B13" s="14" t="s">
        <v>29</v>
      </c>
      <c r="C13" s="24">
        <v>80000.0</v>
      </c>
      <c r="D13" s="24">
        <v>1800.0</v>
      </c>
      <c r="E13" s="24">
        <v>1600.0</v>
      </c>
      <c r="F13" s="14" t="s">
        <v>30</v>
      </c>
    </row>
    <row r="14" ht="39.0" customHeight="1">
      <c r="A14" s="13" t="s">
        <v>26</v>
      </c>
      <c r="B14" s="14" t="s">
        <v>31</v>
      </c>
      <c r="C14" s="24">
        <v>50000.0</v>
      </c>
      <c r="D14" s="24">
        <v>1200.0</v>
      </c>
      <c r="E14" s="24">
        <v>1000.0</v>
      </c>
      <c r="F14" s="14" t="s">
        <v>32</v>
      </c>
    </row>
    <row r="15" ht="39.0" customHeight="1">
      <c r="A15" s="13" t="s">
        <v>26</v>
      </c>
      <c r="B15" s="25" t="s">
        <v>33</v>
      </c>
      <c r="C15" s="24"/>
      <c r="D15" s="24"/>
      <c r="E15" s="24"/>
      <c r="F15" s="14" t="s">
        <v>34</v>
      </c>
    </row>
    <row r="16" ht="39.0" customHeight="1">
      <c r="A16" s="10" t="s">
        <v>35</v>
      </c>
      <c r="B16" s="11"/>
      <c r="C16" s="11"/>
      <c r="D16" s="11"/>
      <c r="E16" s="11"/>
      <c r="F16" s="12"/>
    </row>
    <row r="17" ht="39.0" customHeight="1">
      <c r="A17" s="13" t="s">
        <v>36</v>
      </c>
      <c r="B17" s="14" t="s">
        <v>37</v>
      </c>
      <c r="C17" s="18" t="s">
        <v>38</v>
      </c>
      <c r="D17" s="18" t="s">
        <v>39</v>
      </c>
      <c r="E17" s="18" t="s">
        <v>40</v>
      </c>
      <c r="F17" s="14" t="s">
        <v>41</v>
      </c>
    </row>
    <row r="18" ht="39.0" customHeight="1">
      <c r="A18" s="13" t="s">
        <v>36</v>
      </c>
      <c r="B18" s="14" t="s">
        <v>42</v>
      </c>
      <c r="C18" s="18" t="s">
        <v>43</v>
      </c>
      <c r="D18" s="18" t="s">
        <v>43</v>
      </c>
      <c r="E18" s="18" t="s">
        <v>40</v>
      </c>
      <c r="F18" s="14" t="s">
        <v>44</v>
      </c>
    </row>
    <row r="19" ht="39.0" customHeight="1">
      <c r="A19" s="10" t="s">
        <v>45</v>
      </c>
      <c r="B19" s="11"/>
      <c r="C19" s="11"/>
      <c r="D19" s="11"/>
      <c r="E19" s="11"/>
      <c r="F19" s="12"/>
    </row>
    <row r="20" ht="63.0" customHeight="1">
      <c r="A20" s="13" t="s">
        <v>46</v>
      </c>
      <c r="B20" s="26" t="s">
        <v>47</v>
      </c>
      <c r="C20" s="24">
        <v>3000000.0</v>
      </c>
      <c r="D20" s="24">
        <v>3000000.0</v>
      </c>
      <c r="E20" s="24">
        <v>3500000.0</v>
      </c>
      <c r="F20" s="14" t="s">
        <v>48</v>
      </c>
    </row>
    <row r="21" ht="39.0" customHeight="1">
      <c r="A21" s="13" t="s">
        <v>46</v>
      </c>
      <c r="B21" s="14" t="s">
        <v>49</v>
      </c>
      <c r="C21" s="27">
        <v>50000.0</v>
      </c>
      <c r="D21" s="27">
        <v>50000.0</v>
      </c>
      <c r="E21" s="27">
        <v>35000.0</v>
      </c>
      <c r="F21" s="14" t="s">
        <v>50</v>
      </c>
    </row>
    <row r="22" ht="15.75" customHeight="1">
      <c r="A22" s="28"/>
      <c r="B22" s="29"/>
      <c r="C22" s="29"/>
      <c r="D22" s="29"/>
      <c r="E22" s="29"/>
      <c r="F22" s="30"/>
    </row>
    <row r="23" ht="15.75" customHeight="1">
      <c r="A23" s="31"/>
      <c r="B23" s="32"/>
      <c r="C23" s="32"/>
      <c r="D23" s="32"/>
      <c r="E23" s="32"/>
      <c r="F23" s="33"/>
    </row>
    <row r="24" ht="15.75" customHeight="1">
      <c r="A24" s="34"/>
      <c r="B24" s="34"/>
      <c r="C24" s="34"/>
      <c r="D24" s="34"/>
      <c r="E24" s="34"/>
      <c r="F24" s="34"/>
    </row>
    <row r="25" ht="15.75" customHeight="1">
      <c r="A25" s="34"/>
      <c r="B25" s="34"/>
      <c r="C25" s="34"/>
      <c r="D25" s="34"/>
      <c r="E25" s="34"/>
      <c r="F25" s="34"/>
    </row>
    <row r="26" ht="15.75" customHeight="1">
      <c r="A26" s="34"/>
      <c r="B26" s="34"/>
      <c r="C26" s="34"/>
      <c r="D26" s="34"/>
      <c r="E26" s="34"/>
      <c r="F26" s="34"/>
    </row>
    <row r="27" ht="15.75" customHeight="1">
      <c r="A27" s="34"/>
      <c r="B27" s="34"/>
      <c r="C27" s="34"/>
      <c r="D27" s="34"/>
      <c r="E27" s="34"/>
      <c r="F27" s="34"/>
    </row>
    <row r="28" ht="15.75" customHeight="1">
      <c r="A28" s="34"/>
      <c r="B28" s="34"/>
      <c r="C28" s="34"/>
      <c r="D28" s="34"/>
      <c r="E28" s="34"/>
      <c r="F28" s="34"/>
    </row>
    <row r="29" ht="15.75" customHeight="1">
      <c r="A29" s="34"/>
      <c r="B29" s="34"/>
      <c r="C29" s="34"/>
      <c r="D29" s="34"/>
      <c r="E29" s="34"/>
      <c r="F29" s="34"/>
    </row>
    <row r="30" ht="15.75" customHeight="1">
      <c r="A30" s="34"/>
      <c r="B30" s="34"/>
      <c r="C30" s="34"/>
      <c r="D30" s="34"/>
      <c r="E30" s="34"/>
      <c r="F30" s="34"/>
    </row>
    <row r="31" ht="15.75" customHeight="1">
      <c r="A31" s="34"/>
      <c r="B31" s="34"/>
      <c r="C31" s="34"/>
      <c r="D31" s="34"/>
      <c r="E31" s="34"/>
      <c r="F31" s="34"/>
    </row>
    <row r="32" ht="15.75" customHeight="1">
      <c r="A32" s="34"/>
      <c r="B32" s="34"/>
      <c r="C32" s="34"/>
      <c r="D32" s="34"/>
      <c r="E32" s="34"/>
      <c r="F32" s="34"/>
    </row>
    <row r="33" ht="15.75" customHeight="1">
      <c r="A33" s="34"/>
      <c r="B33" s="34"/>
      <c r="C33" s="34"/>
      <c r="D33" s="34"/>
      <c r="E33" s="34"/>
      <c r="F33" s="34"/>
    </row>
    <row r="34" ht="15.75" customHeight="1">
      <c r="A34" s="34"/>
      <c r="B34" s="34"/>
      <c r="C34" s="34"/>
      <c r="D34" s="34"/>
      <c r="E34" s="34"/>
      <c r="F34" s="34"/>
    </row>
    <row r="35" ht="15.75" customHeight="1">
      <c r="A35" s="34"/>
      <c r="B35" s="34"/>
      <c r="C35" s="34"/>
      <c r="D35" s="34"/>
      <c r="E35" s="34"/>
      <c r="F35" s="34"/>
    </row>
    <row r="36" ht="15.75" customHeight="1">
      <c r="A36" s="34"/>
      <c r="B36" s="34"/>
      <c r="C36" s="34"/>
      <c r="D36" s="34"/>
      <c r="E36" s="34"/>
      <c r="F36" s="3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6">
    <mergeCell ref="A1:F1"/>
    <mergeCell ref="A2:F2"/>
    <mergeCell ref="A5:F5"/>
    <mergeCell ref="A11:F11"/>
    <mergeCell ref="A16:F16"/>
    <mergeCell ref="A19:F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46.14"/>
    <col customWidth="1" min="3" max="3" width="64.14"/>
    <col customWidth="1" min="4" max="4" width="79.0"/>
    <col customWidth="1" min="5" max="5" width="158.43"/>
  </cols>
  <sheetData>
    <row r="1">
      <c r="A1" s="9" t="s">
        <v>51</v>
      </c>
      <c r="B1" s="9" t="s">
        <v>52</v>
      </c>
      <c r="C1" s="9"/>
      <c r="D1" s="9"/>
      <c r="E1" s="8"/>
    </row>
    <row r="2">
      <c r="A2" s="35" t="s">
        <v>53</v>
      </c>
      <c r="B2" s="16">
        <v>12500.0</v>
      </c>
      <c r="C2" s="16"/>
      <c r="D2" s="15"/>
      <c r="E2" s="14"/>
    </row>
    <row r="3">
      <c r="A3" s="35" t="s">
        <v>54</v>
      </c>
      <c r="B3" s="18">
        <f>(B2)*0.9</f>
        <v>11250</v>
      </c>
      <c r="C3" s="18"/>
      <c r="D3" s="18"/>
      <c r="E3" s="19"/>
    </row>
    <row r="4">
      <c r="A4" s="35" t="s">
        <v>55</v>
      </c>
      <c r="B4" s="18">
        <f>(B3)*0.8</f>
        <v>9000</v>
      </c>
      <c r="C4" s="18"/>
      <c r="D4" s="18"/>
      <c r="E4" s="19"/>
    </row>
    <row r="5">
      <c r="A5" s="35" t="s">
        <v>56</v>
      </c>
      <c r="B5" s="18">
        <f>(B4)*0.75</f>
        <v>6750</v>
      </c>
      <c r="C5" s="18"/>
      <c r="D5" s="18"/>
      <c r="E5" s="19"/>
    </row>
    <row r="6">
      <c r="A6" s="35" t="s">
        <v>57</v>
      </c>
      <c r="B6" s="18">
        <f>(B5)*0.8</f>
        <v>5400</v>
      </c>
    </row>
    <row r="7">
      <c r="B7" s="18"/>
    </row>
    <row r="11">
      <c r="A11" s="36" t="s">
        <v>58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96C7"/>
    <pageSetUpPr/>
  </sheetPr>
  <sheetViews>
    <sheetView showGridLines="0" workbookViewId="0"/>
  </sheetViews>
  <sheetFormatPr customHeight="1" defaultColWidth="14.43" defaultRowHeight="15.0"/>
  <cols>
    <col customWidth="1" min="1" max="1" width="31.71"/>
    <col customWidth="1" min="2" max="2" width="43.71"/>
    <col customWidth="1" min="3" max="3" width="47.14"/>
    <col customWidth="1" min="4" max="4" width="49.57"/>
    <col customWidth="1" min="5" max="5" width="91.14"/>
    <col customWidth="1" min="6" max="26" width="8.71"/>
  </cols>
  <sheetData>
    <row r="1">
      <c r="A1" s="37" t="s">
        <v>59</v>
      </c>
      <c r="B1" s="2"/>
      <c r="C1" s="2"/>
      <c r="D1" s="2"/>
      <c r="E1" s="3"/>
      <c r="F1" s="38"/>
    </row>
    <row r="2" ht="61.5" customHeight="1">
      <c r="A2" s="4" t="s">
        <v>60</v>
      </c>
      <c r="B2" s="5"/>
      <c r="C2" s="5"/>
      <c r="D2" s="5"/>
      <c r="E2" s="6"/>
      <c r="F2" s="34"/>
    </row>
    <row r="3">
      <c r="A3" s="7"/>
      <c r="B3" s="7"/>
      <c r="C3" s="7"/>
      <c r="D3" s="7"/>
      <c r="E3" s="7"/>
      <c r="F3" s="34"/>
    </row>
    <row r="4" ht="67.5" customHeight="1">
      <c r="A4" s="8" t="s">
        <v>61</v>
      </c>
      <c r="B4" s="8" t="s">
        <v>62</v>
      </c>
      <c r="C4" s="9" t="s">
        <v>5</v>
      </c>
      <c r="D4" s="9" t="s">
        <v>6</v>
      </c>
      <c r="E4" s="8" t="s">
        <v>63</v>
      </c>
      <c r="F4" s="34"/>
    </row>
    <row r="5" ht="24.0" customHeight="1">
      <c r="A5" s="10" t="s">
        <v>64</v>
      </c>
      <c r="B5" s="11"/>
      <c r="C5" s="11"/>
      <c r="D5" s="11"/>
      <c r="E5" s="12"/>
      <c r="F5" s="34"/>
    </row>
    <row r="6" ht="64.5" customHeight="1">
      <c r="A6" s="14" t="s">
        <v>65</v>
      </c>
      <c r="B6" s="39" t="s">
        <v>66</v>
      </c>
      <c r="C6" s="39" t="s">
        <v>66</v>
      </c>
      <c r="D6" s="40" t="s">
        <v>67</v>
      </c>
      <c r="E6" s="14" t="s">
        <v>68</v>
      </c>
      <c r="F6" s="34"/>
    </row>
    <row r="7" ht="64.5" customHeight="1">
      <c r="A7" s="14" t="s">
        <v>69</v>
      </c>
      <c r="B7" s="39" t="s">
        <v>70</v>
      </c>
      <c r="C7" s="39" t="s">
        <v>70</v>
      </c>
      <c r="D7" s="41" t="s">
        <v>71</v>
      </c>
      <c r="E7" s="14" t="s">
        <v>72</v>
      </c>
      <c r="F7" s="34"/>
    </row>
    <row r="8" ht="49.5" customHeight="1">
      <c r="A8" s="10" t="s">
        <v>73</v>
      </c>
      <c r="B8" s="11"/>
      <c r="C8" s="11"/>
      <c r="D8" s="11"/>
      <c r="E8" s="12"/>
      <c r="F8" s="34"/>
    </row>
    <row r="9" ht="66.0" customHeight="1">
      <c r="A9" s="14" t="s">
        <v>74</v>
      </c>
      <c r="B9" s="39" t="s">
        <v>75</v>
      </c>
      <c r="C9" s="39" t="s">
        <v>75</v>
      </c>
      <c r="D9" s="40" t="s">
        <v>76</v>
      </c>
      <c r="E9" s="14" t="s">
        <v>77</v>
      </c>
      <c r="F9" s="34"/>
    </row>
    <row r="10" ht="49.5" customHeight="1">
      <c r="A10" s="14" t="s">
        <v>78</v>
      </c>
      <c r="B10" s="39" t="s">
        <v>79</v>
      </c>
      <c r="C10" s="39" t="s">
        <v>79</v>
      </c>
      <c r="D10" s="40" t="s">
        <v>80</v>
      </c>
      <c r="E10" s="14" t="s">
        <v>81</v>
      </c>
      <c r="F10" s="34"/>
    </row>
    <row r="11" ht="49.5" customHeight="1">
      <c r="A11" s="10" t="s">
        <v>82</v>
      </c>
      <c r="B11" s="11"/>
      <c r="C11" s="11"/>
      <c r="D11" s="11"/>
      <c r="E11" s="12"/>
      <c r="F11" s="34"/>
    </row>
    <row r="12" ht="49.5" customHeight="1">
      <c r="A12" s="14" t="s">
        <v>83</v>
      </c>
      <c r="B12" s="39" t="s">
        <v>66</v>
      </c>
      <c r="C12" s="39" t="s">
        <v>66</v>
      </c>
      <c r="D12" s="40" t="s">
        <v>84</v>
      </c>
      <c r="E12" s="14" t="s">
        <v>85</v>
      </c>
      <c r="F12" s="34"/>
    </row>
    <row r="13" ht="49.5" customHeight="1">
      <c r="A13" s="14" t="s">
        <v>86</v>
      </c>
      <c r="B13" s="39" t="s">
        <v>87</v>
      </c>
      <c r="C13" s="39" t="s">
        <v>87</v>
      </c>
      <c r="D13" s="40" t="s">
        <v>88</v>
      </c>
      <c r="E13" s="14" t="s">
        <v>89</v>
      </c>
      <c r="F13" s="34"/>
    </row>
    <row r="14" ht="49.5" customHeight="1">
      <c r="A14" s="10" t="s">
        <v>90</v>
      </c>
      <c r="B14" s="11"/>
      <c r="C14" s="11"/>
      <c r="D14" s="11"/>
      <c r="E14" s="12"/>
      <c r="F14" s="34"/>
    </row>
    <row r="15" ht="49.5" customHeight="1">
      <c r="A15" s="14" t="s">
        <v>91</v>
      </c>
      <c r="B15" s="39" t="s">
        <v>92</v>
      </c>
      <c r="C15" s="39" t="s">
        <v>92</v>
      </c>
      <c r="D15" s="40" t="s">
        <v>92</v>
      </c>
      <c r="E15" s="14" t="s">
        <v>93</v>
      </c>
      <c r="F15" s="34"/>
    </row>
    <row r="16" ht="49.5" customHeight="1">
      <c r="A16" s="10" t="s">
        <v>94</v>
      </c>
      <c r="B16" s="11"/>
      <c r="C16" s="11"/>
      <c r="D16" s="11"/>
      <c r="E16" s="12"/>
      <c r="F16" s="34"/>
    </row>
    <row r="17" ht="64.5" customHeight="1">
      <c r="A17" s="42" t="s">
        <v>95</v>
      </c>
      <c r="B17" s="43" t="s">
        <v>96</v>
      </c>
      <c r="C17" s="43" t="s">
        <v>96</v>
      </c>
      <c r="D17" s="44" t="s">
        <v>97</v>
      </c>
      <c r="E17" s="45" t="s">
        <v>98</v>
      </c>
      <c r="F17" s="34"/>
    </row>
    <row r="18" ht="64.5" customHeight="1">
      <c r="A18" s="42" t="s">
        <v>99</v>
      </c>
      <c r="B18" s="46" t="s">
        <v>100</v>
      </c>
      <c r="C18" s="46" t="s">
        <v>100</v>
      </c>
      <c r="D18" s="44" t="s">
        <v>101</v>
      </c>
      <c r="E18" s="45" t="s">
        <v>102</v>
      </c>
      <c r="F18" s="34"/>
    </row>
    <row r="19">
      <c r="A19" s="34"/>
      <c r="B19" s="34"/>
      <c r="C19" s="34"/>
      <c r="D19" s="34"/>
      <c r="E19" s="34"/>
      <c r="F19" s="34"/>
    </row>
    <row r="20">
      <c r="A20" s="34"/>
      <c r="B20" s="34"/>
      <c r="C20" s="34"/>
      <c r="D20" s="34"/>
      <c r="E20" s="34"/>
      <c r="F20" s="34"/>
    </row>
    <row r="21" ht="15.75" customHeight="1">
      <c r="A21" s="34"/>
      <c r="B21" s="34"/>
      <c r="C21" s="34"/>
      <c r="D21" s="34"/>
      <c r="E21" s="34"/>
      <c r="F21" s="34"/>
    </row>
    <row r="22" ht="15.75" customHeight="1">
      <c r="A22" s="34"/>
      <c r="B22" s="34"/>
      <c r="C22" s="34"/>
      <c r="D22" s="34"/>
      <c r="E22" s="34"/>
      <c r="F22" s="34"/>
    </row>
    <row r="23" ht="15.75" customHeight="1">
      <c r="A23" s="34"/>
      <c r="B23" s="34"/>
      <c r="C23" s="34"/>
      <c r="D23" s="34"/>
      <c r="E23" s="34"/>
      <c r="F23" s="34"/>
    </row>
    <row r="24" ht="15.75" customHeight="1">
      <c r="A24" s="34"/>
      <c r="B24" s="34"/>
      <c r="C24" s="34"/>
      <c r="D24" s="34"/>
      <c r="E24" s="34"/>
      <c r="F24" s="34"/>
    </row>
    <row r="25" ht="15.75" customHeight="1">
      <c r="A25" s="34"/>
      <c r="B25" s="34"/>
      <c r="C25" s="34"/>
      <c r="D25" s="34"/>
      <c r="E25" s="34"/>
      <c r="F25" s="34"/>
    </row>
    <row r="26" ht="15.75" customHeight="1">
      <c r="A26" s="34"/>
      <c r="B26" s="34"/>
      <c r="C26" s="34"/>
      <c r="D26" s="34"/>
      <c r="E26" s="34"/>
      <c r="F26" s="34"/>
    </row>
    <row r="27" ht="15.75" customHeight="1">
      <c r="A27" s="34"/>
      <c r="B27" s="34"/>
      <c r="C27" s="34"/>
      <c r="D27" s="34"/>
      <c r="E27" s="34"/>
      <c r="F27" s="34"/>
    </row>
    <row r="28" ht="15.75" customHeight="1">
      <c r="A28" s="34"/>
      <c r="B28" s="34"/>
      <c r="C28" s="34"/>
      <c r="D28" s="34"/>
      <c r="E28" s="34"/>
      <c r="F28" s="34"/>
    </row>
    <row r="29" ht="15.75" customHeight="1">
      <c r="A29" s="34"/>
      <c r="B29" s="34"/>
      <c r="C29" s="34"/>
      <c r="D29" s="34"/>
      <c r="E29" s="34"/>
      <c r="F29" s="34"/>
    </row>
    <row r="30" ht="15.75" customHeight="1">
      <c r="A30" s="34"/>
      <c r="B30" s="34"/>
      <c r="C30" s="34"/>
      <c r="D30" s="34"/>
      <c r="E30" s="34"/>
      <c r="F30" s="34"/>
    </row>
    <row r="31" ht="15.75" customHeight="1">
      <c r="A31" s="34"/>
      <c r="B31" s="34"/>
      <c r="C31" s="34"/>
      <c r="D31" s="34"/>
      <c r="E31" s="34"/>
      <c r="F31" s="34"/>
    </row>
    <row r="32" ht="15.75" customHeight="1">
      <c r="A32" s="34"/>
      <c r="B32" s="34"/>
      <c r="C32" s="34"/>
      <c r="D32" s="34"/>
      <c r="E32" s="34"/>
      <c r="F32" s="34"/>
    </row>
    <row r="33" ht="15.75" customHeight="1">
      <c r="A33" s="34"/>
      <c r="B33" s="34"/>
      <c r="C33" s="34"/>
      <c r="D33" s="34"/>
      <c r="E33" s="34"/>
      <c r="F33" s="34"/>
    </row>
    <row r="34" ht="15.75" customHeight="1">
      <c r="A34" s="34"/>
      <c r="B34" s="34"/>
      <c r="C34" s="34"/>
      <c r="D34" s="34"/>
      <c r="E34" s="34"/>
      <c r="F34" s="34"/>
    </row>
    <row r="35" ht="15.75" customHeight="1">
      <c r="A35" s="34"/>
      <c r="B35" s="34"/>
      <c r="C35" s="34"/>
      <c r="D35" s="34"/>
      <c r="E35" s="34"/>
      <c r="F35" s="34"/>
    </row>
    <row r="36" ht="15.75" customHeight="1">
      <c r="A36" s="34"/>
      <c r="B36" s="34"/>
      <c r="C36" s="34"/>
      <c r="D36" s="34"/>
      <c r="E36" s="34"/>
      <c r="F36" s="34"/>
    </row>
    <row r="37" ht="15.75" customHeight="1">
      <c r="A37" s="34"/>
      <c r="B37" s="34"/>
      <c r="C37" s="34"/>
      <c r="D37" s="34"/>
      <c r="E37" s="34"/>
      <c r="F37" s="34"/>
    </row>
    <row r="38" ht="15.75" customHeight="1">
      <c r="A38" s="34"/>
      <c r="B38" s="34"/>
      <c r="C38" s="34"/>
      <c r="D38" s="34"/>
      <c r="E38" s="34"/>
      <c r="F38" s="34"/>
    </row>
    <row r="39" ht="15.75" customHeight="1">
      <c r="A39" s="34"/>
      <c r="B39" s="34"/>
      <c r="C39" s="34"/>
      <c r="D39" s="34"/>
      <c r="E39" s="34"/>
      <c r="F39" s="34"/>
    </row>
    <row r="40" ht="15.75" customHeight="1">
      <c r="A40" s="34"/>
      <c r="B40" s="34"/>
      <c r="C40" s="34"/>
      <c r="D40" s="34"/>
      <c r="E40" s="34"/>
      <c r="F40" s="34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5:E5"/>
    <mergeCell ref="A8:E8"/>
    <mergeCell ref="A11:E11"/>
    <mergeCell ref="A14:E14"/>
    <mergeCell ref="A16:E1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8CAE4"/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45.29"/>
    <col customWidth="1" min="3" max="3" width="46.0"/>
    <col customWidth="1" min="4" max="4" width="52.29"/>
    <col customWidth="1" min="5" max="5" width="65.86"/>
    <col customWidth="1" min="6" max="26" width="8.71"/>
  </cols>
  <sheetData>
    <row r="1">
      <c r="A1" s="37" t="s">
        <v>103</v>
      </c>
      <c r="B1" s="2"/>
      <c r="C1" s="2"/>
      <c r="D1" s="2"/>
      <c r="E1" s="3"/>
      <c r="F1" s="38"/>
    </row>
    <row r="2">
      <c r="A2" s="4" t="s">
        <v>104</v>
      </c>
      <c r="B2" s="5"/>
      <c r="C2" s="5"/>
      <c r="D2" s="5"/>
      <c r="E2" s="6"/>
      <c r="F2" s="34"/>
    </row>
    <row r="3">
      <c r="A3" s="7"/>
      <c r="B3" s="7"/>
      <c r="C3" s="7"/>
      <c r="D3" s="7"/>
      <c r="E3" s="7"/>
      <c r="F3" s="34"/>
    </row>
    <row r="4" ht="67.5" customHeight="1">
      <c r="A4" s="8" t="s">
        <v>105</v>
      </c>
      <c r="B4" s="8" t="s">
        <v>62</v>
      </c>
      <c r="C4" s="9" t="s">
        <v>5</v>
      </c>
      <c r="D4" s="9" t="s">
        <v>6</v>
      </c>
      <c r="E4" s="8" t="s">
        <v>106</v>
      </c>
      <c r="F4" s="34"/>
    </row>
    <row r="5" ht="36.0" customHeight="1">
      <c r="A5" s="10" t="s">
        <v>107</v>
      </c>
      <c r="B5" s="11"/>
      <c r="C5" s="11"/>
      <c r="D5" s="11"/>
      <c r="E5" s="12"/>
      <c r="F5" s="34"/>
    </row>
    <row r="6" ht="36.0" customHeight="1">
      <c r="A6" s="14" t="s">
        <v>108</v>
      </c>
      <c r="B6" s="24">
        <v>280000.0</v>
      </c>
      <c r="C6" s="47" t="s">
        <v>109</v>
      </c>
      <c r="D6" s="47" t="s">
        <v>109</v>
      </c>
      <c r="E6" s="14" t="s">
        <v>110</v>
      </c>
      <c r="F6" s="34"/>
    </row>
    <row r="7" ht="36.0" customHeight="1">
      <c r="A7" s="14" t="s">
        <v>111</v>
      </c>
      <c r="B7" s="47" t="s">
        <v>109</v>
      </c>
      <c r="C7" s="24">
        <v>12000.0</v>
      </c>
      <c r="D7" s="24">
        <v>10000.0</v>
      </c>
      <c r="E7" s="14" t="s">
        <v>112</v>
      </c>
      <c r="F7" s="34"/>
    </row>
    <row r="8" ht="36.0" customHeight="1">
      <c r="A8" s="10" t="s">
        <v>113</v>
      </c>
      <c r="B8" s="11"/>
      <c r="C8" s="11"/>
      <c r="D8" s="11"/>
      <c r="E8" s="12"/>
      <c r="F8" s="34"/>
    </row>
    <row r="9" ht="36.0" customHeight="1">
      <c r="A9" s="14" t="s">
        <v>114</v>
      </c>
      <c r="B9" s="48">
        <v>336000.0</v>
      </c>
      <c r="C9" s="27">
        <v>144000.0</v>
      </c>
      <c r="D9" s="27">
        <v>120000.0</v>
      </c>
      <c r="F9" s="34"/>
    </row>
    <row r="10" ht="36.0" customHeight="1">
      <c r="A10" s="14" t="s">
        <v>115</v>
      </c>
      <c r="B10" s="27">
        <v>56000.0</v>
      </c>
      <c r="C10" s="27">
        <v>144000.0</v>
      </c>
      <c r="D10" s="27">
        <v>120000.0</v>
      </c>
      <c r="E10" s="14" t="s">
        <v>116</v>
      </c>
      <c r="F10" s="34"/>
    </row>
    <row r="11" ht="36.0" customHeight="1">
      <c r="A11" s="14" t="s">
        <v>117</v>
      </c>
      <c r="B11" s="27">
        <v>56000.0</v>
      </c>
      <c r="C11" s="27">
        <v>144000.0</v>
      </c>
      <c r="D11" s="27">
        <v>120000.0</v>
      </c>
      <c r="E11" s="14"/>
      <c r="F11" s="34"/>
    </row>
    <row r="12" ht="36.0" customHeight="1">
      <c r="A12" s="14" t="s">
        <v>118</v>
      </c>
      <c r="B12" s="27">
        <v>56000.0</v>
      </c>
      <c r="C12" s="27">
        <v>144000.0</v>
      </c>
      <c r="D12" s="27">
        <v>120000.0</v>
      </c>
      <c r="E12" s="14"/>
      <c r="F12" s="34"/>
    </row>
    <row r="13" ht="36.0" customHeight="1">
      <c r="A13" s="14" t="s">
        <v>119</v>
      </c>
      <c r="B13" s="27">
        <v>56000.0</v>
      </c>
      <c r="C13" s="27">
        <v>144000.0</v>
      </c>
      <c r="D13" s="27">
        <v>120000.0</v>
      </c>
      <c r="E13" s="14"/>
      <c r="F13" s="34"/>
    </row>
    <row r="14" ht="36.0" customHeight="1">
      <c r="A14" s="42" t="s">
        <v>120</v>
      </c>
      <c r="B14" s="49" t="s">
        <v>121</v>
      </c>
      <c r="C14" s="49" t="s">
        <v>122</v>
      </c>
      <c r="D14" s="49" t="s">
        <v>123</v>
      </c>
      <c r="E14" s="50"/>
      <c r="F14" s="34"/>
    </row>
    <row r="15" ht="36.0" customHeight="1">
      <c r="A15" s="42" t="s">
        <v>124</v>
      </c>
      <c r="B15" s="49" t="s">
        <v>125</v>
      </c>
      <c r="C15" s="49" t="s">
        <v>126</v>
      </c>
      <c r="D15" s="49" t="s">
        <v>127</v>
      </c>
      <c r="E15" s="42" t="s">
        <v>128</v>
      </c>
      <c r="F15" s="34"/>
    </row>
    <row r="16" ht="36.0" customHeight="1">
      <c r="A16" s="7"/>
      <c r="B16" s="18"/>
      <c r="C16" s="18"/>
      <c r="D16" s="18"/>
      <c r="E16" s="7"/>
      <c r="F16" s="34"/>
    </row>
    <row r="17" ht="15.75" customHeight="1">
      <c r="A17" s="34"/>
      <c r="B17" s="34"/>
      <c r="C17" s="34"/>
      <c r="D17" s="34"/>
      <c r="E17" s="34"/>
      <c r="F17" s="34"/>
    </row>
    <row r="18" ht="15.75" customHeight="1">
      <c r="A18" s="34"/>
      <c r="B18" s="34"/>
      <c r="C18" s="34"/>
      <c r="D18" s="34"/>
      <c r="E18" s="34"/>
      <c r="F18" s="34"/>
    </row>
    <row r="19" ht="15.75" customHeight="1">
      <c r="A19" s="34"/>
      <c r="B19" s="34"/>
      <c r="C19" s="34"/>
      <c r="D19" s="34"/>
      <c r="E19" s="34"/>
      <c r="F19" s="34"/>
    </row>
    <row r="20" ht="15.75" customHeight="1">
      <c r="A20" s="34"/>
      <c r="B20" s="34"/>
      <c r="C20" s="34"/>
      <c r="D20" s="34"/>
      <c r="E20" s="34"/>
      <c r="F20" s="34"/>
    </row>
    <row r="21" ht="15.75" customHeight="1">
      <c r="A21" s="34"/>
      <c r="B21" s="34"/>
      <c r="C21" s="34"/>
      <c r="D21" s="34"/>
      <c r="E21" s="34"/>
      <c r="F21" s="34"/>
    </row>
    <row r="22" ht="15.75" customHeight="1">
      <c r="A22" s="34"/>
      <c r="B22" s="34"/>
      <c r="C22" s="34"/>
      <c r="D22" s="34"/>
      <c r="E22" s="34"/>
      <c r="F22" s="34"/>
    </row>
    <row r="23" ht="15.75" customHeight="1">
      <c r="A23" s="34"/>
      <c r="B23" s="34"/>
      <c r="C23" s="34"/>
      <c r="D23" s="34"/>
      <c r="E23" s="34"/>
      <c r="F23" s="34"/>
    </row>
    <row r="24" ht="15.75" customHeight="1">
      <c r="A24" s="34"/>
      <c r="B24" s="34"/>
      <c r="C24" s="34"/>
      <c r="D24" s="34"/>
      <c r="E24" s="34"/>
      <c r="F24" s="34"/>
    </row>
    <row r="25" ht="15.75" customHeight="1">
      <c r="A25" s="34"/>
      <c r="B25" s="34"/>
      <c r="C25" s="34"/>
      <c r="D25" s="34"/>
      <c r="E25" s="34"/>
      <c r="F25" s="34"/>
    </row>
    <row r="26" ht="15.75" customHeight="1">
      <c r="A26" s="34"/>
      <c r="B26" s="34"/>
      <c r="C26" s="34"/>
      <c r="D26" s="34"/>
      <c r="E26" s="34"/>
      <c r="F26" s="34"/>
    </row>
    <row r="27" ht="15.75" customHeight="1">
      <c r="A27" s="34"/>
      <c r="B27" s="34"/>
      <c r="C27" s="34"/>
      <c r="D27" s="34"/>
      <c r="E27" s="34"/>
      <c r="F27" s="34"/>
    </row>
    <row r="28" ht="15.75" customHeight="1">
      <c r="A28" s="34"/>
      <c r="B28" s="34"/>
      <c r="C28" s="34"/>
      <c r="D28" s="34"/>
      <c r="E28" s="34"/>
      <c r="F28" s="34"/>
    </row>
    <row r="29" ht="15.75" customHeight="1">
      <c r="A29" s="34"/>
      <c r="B29" s="34"/>
      <c r="C29" s="34"/>
      <c r="D29" s="34"/>
      <c r="E29" s="34"/>
      <c r="F29" s="34"/>
    </row>
    <row r="30" ht="15.75" customHeight="1">
      <c r="A30" s="34"/>
      <c r="B30" s="34"/>
      <c r="C30" s="34"/>
      <c r="D30" s="34"/>
      <c r="E30" s="34"/>
      <c r="F30" s="34"/>
    </row>
    <row r="31" ht="15.75" customHeight="1">
      <c r="A31" s="34"/>
      <c r="B31" s="34"/>
      <c r="C31" s="34"/>
      <c r="D31" s="34"/>
      <c r="E31" s="34"/>
      <c r="F31" s="34"/>
    </row>
    <row r="32" ht="15.75" customHeight="1">
      <c r="A32" s="34"/>
      <c r="B32" s="34"/>
      <c r="C32" s="34"/>
      <c r="D32" s="34"/>
      <c r="E32" s="34"/>
      <c r="F32" s="34"/>
    </row>
    <row r="33" ht="15.75" customHeight="1">
      <c r="A33" s="34"/>
      <c r="B33" s="34"/>
      <c r="C33" s="34"/>
      <c r="D33" s="34"/>
      <c r="E33" s="34"/>
      <c r="F33" s="34"/>
    </row>
    <row r="34" ht="15.75" customHeight="1">
      <c r="A34" s="34"/>
      <c r="B34" s="34"/>
      <c r="C34" s="34"/>
      <c r="D34" s="34"/>
      <c r="E34" s="34"/>
      <c r="F34" s="34"/>
    </row>
    <row r="35" ht="15.75" customHeight="1">
      <c r="A35" s="34"/>
      <c r="B35" s="34"/>
      <c r="C35" s="34"/>
      <c r="D35" s="34"/>
      <c r="E35" s="34"/>
      <c r="F35" s="34"/>
    </row>
    <row r="36" ht="15.75" customHeight="1">
      <c r="A36" s="34"/>
      <c r="B36" s="34"/>
      <c r="C36" s="34"/>
      <c r="D36" s="34"/>
      <c r="E36" s="34"/>
      <c r="F36" s="34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4">
    <mergeCell ref="A1:E1"/>
    <mergeCell ref="A2:E2"/>
    <mergeCell ref="A5:E5"/>
    <mergeCell ref="A8:E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4D8"/>
    <pageSetUpPr/>
  </sheetPr>
  <sheetViews>
    <sheetView showGridLines="0" workbookViewId="0"/>
  </sheetViews>
  <sheetFormatPr customHeight="1" defaultColWidth="14.43" defaultRowHeight="15.0"/>
  <cols>
    <col customWidth="1" min="1" max="1" width="26.14"/>
    <col customWidth="1" min="2" max="2" width="59.14"/>
    <col customWidth="1" min="3" max="3" width="60.86"/>
    <col customWidth="1" min="4" max="4" width="62.43"/>
    <col customWidth="1" min="5" max="26" width="8.71"/>
  </cols>
  <sheetData>
    <row r="1">
      <c r="A1" s="37" t="s">
        <v>129</v>
      </c>
      <c r="B1" s="2"/>
      <c r="C1" s="2"/>
      <c r="D1" s="3"/>
      <c r="E1" s="38"/>
      <c r="F1" s="38"/>
    </row>
    <row r="2">
      <c r="A2" s="51"/>
      <c r="B2" s="52"/>
      <c r="C2" s="52"/>
      <c r="D2" s="52"/>
      <c r="E2" s="34"/>
      <c r="F2" s="34"/>
    </row>
    <row r="3" ht="67.5" customHeight="1">
      <c r="A3" s="8" t="s">
        <v>130</v>
      </c>
      <c r="B3" s="8" t="s">
        <v>4</v>
      </c>
      <c r="C3" s="9" t="s">
        <v>5</v>
      </c>
      <c r="D3" s="9" t="s">
        <v>6</v>
      </c>
      <c r="E3" s="34"/>
      <c r="F3" s="34"/>
    </row>
    <row r="4" ht="45.0" customHeight="1">
      <c r="A4" s="13" t="s">
        <v>131</v>
      </c>
      <c r="B4" s="18" t="s">
        <v>132</v>
      </c>
      <c r="C4" s="18" t="s">
        <v>133</v>
      </c>
      <c r="D4" s="18" t="s">
        <v>134</v>
      </c>
      <c r="E4" s="34"/>
      <c r="F4" s="34"/>
    </row>
    <row r="5" ht="45.0" customHeight="1">
      <c r="A5" s="53" t="s">
        <v>135</v>
      </c>
      <c r="B5" s="54" t="s">
        <v>136</v>
      </c>
      <c r="C5" s="54" t="s">
        <v>137</v>
      </c>
      <c r="D5" s="54" t="s">
        <v>138</v>
      </c>
      <c r="E5" s="34"/>
      <c r="F5" s="34"/>
    </row>
    <row r="6" ht="45.0" customHeight="1">
      <c r="A6" s="13" t="s">
        <v>139</v>
      </c>
      <c r="B6" s="18" t="s">
        <v>140</v>
      </c>
      <c r="C6" s="18" t="s">
        <v>141</v>
      </c>
      <c r="D6" s="18" t="s">
        <v>142</v>
      </c>
      <c r="E6" s="34"/>
      <c r="F6" s="34"/>
    </row>
    <row r="7" ht="45.0" customHeight="1">
      <c r="A7" s="53" t="s">
        <v>143</v>
      </c>
      <c r="B7" s="54" t="s">
        <v>144</v>
      </c>
      <c r="C7" s="54" t="s">
        <v>144</v>
      </c>
      <c r="D7" s="54" t="s">
        <v>145</v>
      </c>
      <c r="E7" s="34"/>
      <c r="F7" s="34"/>
    </row>
    <row r="8" ht="45.0" customHeight="1">
      <c r="A8" s="13" t="s">
        <v>146</v>
      </c>
      <c r="B8" s="18" t="s">
        <v>147</v>
      </c>
      <c r="C8" s="18" t="s">
        <v>147</v>
      </c>
      <c r="D8" s="18" t="s">
        <v>148</v>
      </c>
      <c r="E8" s="34"/>
      <c r="F8" s="34"/>
    </row>
    <row r="9" ht="45.0" customHeight="1">
      <c r="A9" s="53" t="s">
        <v>149</v>
      </c>
      <c r="B9" s="54" t="s">
        <v>150</v>
      </c>
      <c r="C9" s="54" t="s">
        <v>150</v>
      </c>
      <c r="D9" s="55" t="s">
        <v>151</v>
      </c>
      <c r="E9" s="34"/>
      <c r="F9" s="34"/>
    </row>
    <row r="10" ht="45.0" customHeight="1">
      <c r="A10" s="13" t="s">
        <v>152</v>
      </c>
      <c r="B10" s="43" t="s">
        <v>96</v>
      </c>
      <c r="C10" s="43" t="s">
        <v>96</v>
      </c>
      <c r="D10" s="55" t="s">
        <v>153</v>
      </c>
      <c r="E10" s="34"/>
      <c r="F10" s="34"/>
    </row>
    <row r="11" ht="45.0" customHeight="1">
      <c r="A11" s="53" t="s">
        <v>154</v>
      </c>
      <c r="B11" s="54" t="s">
        <v>155</v>
      </c>
      <c r="C11" s="54" t="s">
        <v>155</v>
      </c>
      <c r="D11" s="54" t="s">
        <v>156</v>
      </c>
      <c r="E11" s="34"/>
      <c r="F11" s="34"/>
    </row>
    <row r="12" ht="45.0" customHeight="1">
      <c r="A12" s="13" t="s">
        <v>157</v>
      </c>
      <c r="B12" s="18" t="s">
        <v>158</v>
      </c>
      <c r="C12" s="18" t="s">
        <v>159</v>
      </c>
      <c r="D12" s="18" t="s">
        <v>159</v>
      </c>
      <c r="E12" s="34"/>
      <c r="F12" s="34"/>
    </row>
    <row r="13" ht="45.0" customHeight="1">
      <c r="A13" s="53" t="s">
        <v>160</v>
      </c>
      <c r="B13" s="54" t="s">
        <v>161</v>
      </c>
      <c r="C13" s="54" t="s">
        <v>162</v>
      </c>
      <c r="D13" s="54" t="s">
        <v>163</v>
      </c>
      <c r="E13" s="34"/>
      <c r="F13" s="34"/>
    </row>
    <row r="14" ht="45.0" customHeight="1">
      <c r="A14" s="13" t="s">
        <v>164</v>
      </c>
      <c r="B14" s="18" t="s">
        <v>165</v>
      </c>
      <c r="C14" s="18" t="s">
        <v>166</v>
      </c>
      <c r="D14" s="18" t="s">
        <v>167</v>
      </c>
      <c r="E14" s="34"/>
      <c r="F14" s="34"/>
    </row>
    <row r="15" ht="45.0" customHeight="1">
      <c r="A15" s="53" t="s">
        <v>168</v>
      </c>
      <c r="B15" s="54" t="s">
        <v>169</v>
      </c>
      <c r="C15" s="54" t="s">
        <v>170</v>
      </c>
      <c r="D15" s="54" t="s">
        <v>171</v>
      </c>
      <c r="E15" s="34"/>
      <c r="F15" s="34"/>
    </row>
    <row r="16">
      <c r="A16" s="34"/>
      <c r="B16" s="34"/>
      <c r="C16" s="34"/>
      <c r="D16" s="34"/>
      <c r="E16" s="34"/>
      <c r="F16" s="34"/>
    </row>
    <row r="17">
      <c r="A17" s="34"/>
      <c r="B17" s="34"/>
      <c r="C17" s="34"/>
      <c r="D17" s="34"/>
      <c r="E17" s="34"/>
      <c r="F17" s="34"/>
    </row>
    <row r="18">
      <c r="A18" s="34"/>
      <c r="B18" s="34"/>
      <c r="C18" s="34"/>
      <c r="D18" s="34"/>
      <c r="E18" s="34"/>
      <c r="F18" s="34"/>
    </row>
    <row r="19">
      <c r="A19" s="34"/>
      <c r="B19" s="34"/>
      <c r="C19" s="34"/>
      <c r="D19" s="34"/>
      <c r="E19" s="34"/>
      <c r="F19" s="34"/>
    </row>
    <row r="20" ht="15.75" customHeight="1">
      <c r="A20" s="34"/>
      <c r="B20" s="34"/>
      <c r="C20" s="34"/>
      <c r="D20" s="34"/>
      <c r="E20" s="34"/>
      <c r="F20" s="34"/>
    </row>
    <row r="21" ht="15.75" customHeight="1">
      <c r="A21" s="34"/>
      <c r="B21" s="34"/>
      <c r="C21" s="34"/>
      <c r="D21" s="34"/>
      <c r="E21" s="34"/>
      <c r="F21" s="34"/>
    </row>
    <row r="22" ht="15.75" customHeight="1">
      <c r="A22" s="34"/>
      <c r="B22" s="34"/>
      <c r="C22" s="34"/>
      <c r="D22" s="34"/>
      <c r="E22" s="34"/>
      <c r="F22" s="34"/>
    </row>
    <row r="23" ht="15.75" customHeight="1">
      <c r="A23" s="34"/>
      <c r="B23" s="34"/>
      <c r="C23" s="34"/>
      <c r="D23" s="34"/>
      <c r="E23" s="34"/>
      <c r="F23" s="34"/>
    </row>
    <row r="24" ht="15.75" customHeight="1">
      <c r="A24" s="34"/>
      <c r="B24" s="34"/>
      <c r="C24" s="34"/>
      <c r="D24" s="34"/>
      <c r="E24" s="34"/>
      <c r="F24" s="34"/>
    </row>
    <row r="25" ht="15.75" customHeight="1">
      <c r="A25" s="34"/>
      <c r="B25" s="34"/>
      <c r="C25" s="34"/>
      <c r="D25" s="34"/>
      <c r="E25" s="34"/>
      <c r="F25" s="34"/>
    </row>
    <row r="26" ht="15.75" customHeight="1">
      <c r="A26" s="34"/>
      <c r="B26" s="34"/>
      <c r="C26" s="34"/>
      <c r="D26" s="34"/>
      <c r="E26" s="34"/>
      <c r="F26" s="34"/>
    </row>
    <row r="27" ht="15.75" customHeight="1">
      <c r="A27" s="34"/>
      <c r="B27" s="34"/>
      <c r="C27" s="34"/>
      <c r="D27" s="34"/>
      <c r="E27" s="34"/>
      <c r="F27" s="34"/>
    </row>
    <row r="28" ht="15.75" customHeight="1">
      <c r="A28" s="34"/>
      <c r="B28" s="34"/>
      <c r="C28" s="34"/>
      <c r="D28" s="34"/>
      <c r="E28" s="34"/>
      <c r="F28" s="34"/>
    </row>
    <row r="29" ht="15.75" customHeight="1">
      <c r="A29" s="34"/>
      <c r="B29" s="34"/>
      <c r="C29" s="34"/>
      <c r="D29" s="34"/>
      <c r="E29" s="34"/>
      <c r="F29" s="34"/>
    </row>
    <row r="30" ht="15.75" customHeight="1">
      <c r="A30" s="34"/>
      <c r="B30" s="34"/>
      <c r="C30" s="34"/>
      <c r="D30" s="34"/>
      <c r="E30" s="34"/>
      <c r="F30" s="34"/>
    </row>
    <row r="31" ht="15.75" customHeight="1">
      <c r="A31" s="34"/>
      <c r="B31" s="34"/>
      <c r="C31" s="34"/>
      <c r="D31" s="34"/>
      <c r="E31" s="34"/>
      <c r="F31" s="34"/>
    </row>
    <row r="32" ht="15.75" customHeight="1">
      <c r="A32" s="34"/>
      <c r="B32" s="34"/>
      <c r="C32" s="34"/>
      <c r="D32" s="34"/>
      <c r="E32" s="34"/>
      <c r="F32" s="34"/>
    </row>
    <row r="33" ht="15.75" customHeight="1">
      <c r="A33" s="34"/>
      <c r="B33" s="34"/>
      <c r="C33" s="34"/>
      <c r="D33" s="34"/>
      <c r="E33" s="34"/>
      <c r="F33" s="34"/>
    </row>
    <row r="34" ht="15.75" customHeight="1">
      <c r="A34" s="34"/>
      <c r="B34" s="34"/>
      <c r="C34" s="34"/>
      <c r="D34" s="34"/>
      <c r="E34" s="34"/>
      <c r="F34" s="34"/>
    </row>
    <row r="35" ht="15.75" customHeight="1">
      <c r="A35" s="34"/>
      <c r="B35" s="34"/>
      <c r="C35" s="34"/>
      <c r="D35" s="34"/>
      <c r="E35" s="34"/>
      <c r="F35" s="34"/>
    </row>
    <row r="36" ht="15.75" customHeight="1">
      <c r="A36" s="34"/>
      <c r="B36" s="34"/>
      <c r="C36" s="34"/>
      <c r="D36" s="34"/>
      <c r="E36" s="34"/>
      <c r="F36" s="34"/>
    </row>
    <row r="37" ht="15.75" customHeight="1">
      <c r="A37" s="34"/>
      <c r="B37" s="34"/>
      <c r="C37" s="34"/>
      <c r="D37" s="34"/>
      <c r="E37" s="34"/>
      <c r="F37" s="34"/>
    </row>
    <row r="38" ht="15.75" customHeight="1">
      <c r="A38" s="34"/>
      <c r="B38" s="34"/>
      <c r="C38" s="34"/>
      <c r="D38" s="34"/>
      <c r="E38" s="34"/>
      <c r="F38" s="34"/>
    </row>
    <row r="39" ht="15.75" customHeight="1">
      <c r="A39" s="34"/>
      <c r="B39" s="34"/>
      <c r="C39" s="34"/>
      <c r="D39" s="34"/>
      <c r="E39" s="34"/>
      <c r="F39" s="34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