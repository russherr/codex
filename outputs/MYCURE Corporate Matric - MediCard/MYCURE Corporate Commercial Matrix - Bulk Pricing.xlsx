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287d62f7a247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 Matrix" sheetId="1" r:id="R0d9fe9c9421f4e16"/>
    <x:sheet xmlns:r="http://schemas.openxmlformats.org/officeDocument/2006/relationships" name="Sheet1" sheetId="2" r:id="R6c8ba447fb3b4899"/>
    <x:sheet xmlns:r="http://schemas.openxmlformats.org/officeDocument/2006/relationships" name="Timeline Comparison" sheetId="3" r:id="Rc09c1e3da33b436d"/>
    <x:sheet xmlns:r="http://schemas.openxmlformats.org/officeDocument/2006/relationships" name="5-Year TCO" sheetId="4" r:id="R8ff7e9541a04450f"/>
    <x:sheet xmlns:r="http://schemas.openxmlformats.org/officeDocument/2006/relationships" name="Model Comparison" sheetId="5" r:id="Ra86adf2047c94adb"/>
  </x:sheets>
</x:workbook>
</file>

<file path=xl/sharedStrings.xml><?xml version="1.0" encoding="utf-8"?>
<x:sst xmlns:x="http://schemas.openxmlformats.org/spreadsheetml/2006/main">
  <x:si>
    <x:t xml:space="preserve">MYCURE Corporate Clinic Ecosystem — Commercial Model Matrix</x:t>
  </x:si>
  <x:si>
    <x:t xml:space="preserve">First 100 Clinics Lock-In Offer — Discounted Pricing Options (Indicative)</x:t>
  </x:si>
  <x:si>
    <x:t xml:space="preserve">Category</x:t>
  </x:si>
  <x:si>
    <x:t xml:space="preserve">Module / Item</x:t>
  </x:si>
  <x:si>
    <x:t xml:space="preserve">Notes / Assumptions</x:t>
  </x:si>
  <x:si>
    <x:t xml:space="preserve">CORPORATE CLINIC CORE</x:t>
  </x:si>
  <x:si>
    <x:t xml:space="preserve">Core
Modules</x:t>
  </x:si>
  <x:si>
    <x:t xml:space="preserve">Core Package
(Corporate EMR + clinic ops)</x:t>
  </x:si>
  <x:si>
    <x:r>
      <x:rPr>
        <x:b/>
        <x:sz val="12"/>
        <x:color rgb="FF0057B8"/>
        <x:rFont val="Arial"/>
      </x:rPr>
      <x:t xml:space="preserve">₱280,000
Promo lock-in
</x:t>
    </x:r>
    <x:r>
      <x:rPr>
        <x:b/>
        <x:sz val="12"/>
        <x:color rgb="FFFF0000"/>
        <x:rFont val="Arial"/>
      </x:rPr>
      <x:t xml:space="preserve">Post-promo: ₱300,000</x:t>
    </x:r>
  </x:si>
  <x:si>
    <x:t xml:space="preserve">Current figures are first-100-clinic lock-in rates. Post-promo rates are shown in the same cells for quick comparison.</x:t>
  </x:si>
  <x:si>
    <x:t xml:space="preserve">Corporate EMR
Includes extensive medical records, Exams &amp; Certificates Hub, and Diagnostics Bridge</x:t>
  </x:si>
  <x:si>
    <x:t xml:space="preserve">Included</x:t>
  </x:si>
  <x:si>
    <x:t xml:space="preserve">One consolidated clinical record layer covering consult history, certificates, exam workflows, diagnostics results, and corporate clinic documentation.</x:t>
  </x:si>
  <x:si>
    <x:t xml:space="preserve">Attendance Management</x:t>
  </x:si>
  <x:si>
    <x:t xml:space="preserve">Clinic team attendance, logs, and operating visibility.</x:t>
  </x:si>
  <x:si>
    <x:t xml:space="preserve">Clinic Insights Dashboard</x:t>
  </x:si>
  <x:si>
    <x:t xml:space="preserve">Operational and clinical trend views for corporate clinic monitoring.</x:t>
  </x:si>
  <x:si>
    <x:t xml:space="preserve">Lock-in mechanics</x:t>
  </x:si>
  <x:si>
    <x:t xml:space="preserve">First 100 clinics reserved at promo rate</x:t>
  </x:si>
  <x:si>
    <x:t xml:space="preserve">OPTIONAL ADD-ON PACKS (per clinic)</x:t>
  </x:si>
  <x:si>
    <x:t xml:space="preserve">Add-On</x:t>
  </x:si>
  <x:si>
    <x:t xml:space="preserve">Workplace Health
Compliance Pack</x:t>
  </x:si>
  <x:si>
    <x:t xml:space="preserve">Corporate &amp; HR
Health Insights Pack</x:t>
  </x:si>
  <x:si>
    <x:t xml:space="preserve">Pharmacy &amp;
Supplies Pack</x:t>
  </x:si>
  <x:si>
    <x:t xml:space="preserve">Syncbase</x:t>
  </x:si>
  <x:si>
    <x:t xml:space="preserve">RECURRING FEES</x:t>
  </x:si>
  <x:si>
    <x:t xml:space="preserve">Recurring</x:t>
  </x:si>
  <x:si>
    <x:t xml:space="preserve">Annual Maintenance
&amp; Support (AMS)</x:t>
  </x:si>
  <x:si>
    <x:t xml:space="preserve">20% of license value
per year</x:t>
  </x:si>
  <x:si>
    <x:t xml:space="preserve">Hosting /
Infrastructure</x:t>
  </x:si>
  <x:si>
    <x:t xml:space="preserve">MediCard's cost
(own infra)</x:t>
  </x:si>
  <x:si>
    <x:t xml:space="preserve">IMPLEMENTATION &amp; TRAINING</x:t>
  </x:si>
  <x:si>
    <x:t xml:space="preserve">Services</x:t>
  </x:si>
  <x:si>
    <x:t xml:space="preserve">Implementation Package
(first 50 clinics)</x:t>
  </x:si>
  <x:si>
    <x:t xml:space="preserve">Per Additional Clinic
Onboarding</x:t>
  </x:si>
  <x:si>
    <x:t xml:space="preserve">Bulk</x:t>
  </x:si>
  <x:si>
    <x:t xml:space="preserve">MediCard Hosting</x:t>
  </x:si>
  <x:si>
    <x:t xml:space="preserve">1 clinic</x:t>
  </x:si>
  <x:si>
    <x:t xml:space="preserve">10-49 clinics</x:t>
  </x:si>
  <x:si>
    <x:t xml:space="preserve">50-99</x:t>
  </x:si>
  <x:si>
    <x:t xml:space="preserve">100-149</x:t>
  </x:si>
  <x:si>
    <x:t xml:space="preserve">150&gt;</x:t>
  </x:si>
  <x:si>
    <x:t xml:space="preserve">Optional Training</x:t>
  </x:si>
  <x:si>
    <x:t xml:space="preserve">Implementation Timeline Comparison by Commercial Model</x:t>
  </x:si>
  <x:si>
    <x:t xml:space="preserve">Phase / Activity</x:t>
  </x:si>
  <x:si>
    <x:t xml:space="preserve">Model 1
Perpetual
MediCard Hosting</x:t>
  </x:si>
  <x:si>
    <x:t xml:space="preserve">Key Dependencies / Notes</x:t>
  </x:si>
  <x:si>
    <x:t xml:space="preserve">CONTRACT &amp; PROCUREMENT</x:t>
  </x:si>
  <x:si>
    <x:t xml:space="preserve">Pilot SOW / LOA /
commercial sign-off</x:t>
  </x:si>
  <x:si>
    <x:t xml:space="preserve">3-5 business days</x:t>
  </x:si>
  <x:si>
    <x:t xml:space="preserve">Models 1 &amp; 2: use pilot authorization while long-form contract continues in parallel. Model 3 requires hosted-service legal/security clauses, but these can run alongside security review.</x:t>
  </x:si>
  <x:si>
    <x:t xml:space="preserve">Security, VAPT, TPSA /
vendor risk review</x:t>
  </x:si>
  <x:si>
    <x:t xml:space="preserve">Deployment checklist only
(app ready; MediCard hosts)</x:t>
  </x:si>
  <x:si>
    <x:t xml:space="preserve">Models 1 &amp; 2 avoid full MYCURE-cloud review because MediCard hosts. Model 3 requires VAPT/TPSA/vendor risk review, but target a focused pilot approval path rather than enterprise-wide clearance upfront.</x:t>
  </x:si>
  <x:si>
    <x:t xml:space="preserve">READINESS &amp; ENABLEMENT</x:t>
  </x:si>
  <x:si>
    <x:t xml:space="preserve">Hosting / environment
readiness</x:t>
  </x:si>
  <x:si>
    <x:t xml:space="preserve">3-5 business days
(MediCard ready by Week 1)</x:t>
  </x:si>
  <x:si>
    <x:t xml:space="preserve">Fast-track requirement: MediCard provides server/cloud environment, database, network/VPN or Tailscale access, backups, and admin access within Week 1. Model 3 cloud setup can proceed in parallel after initial security alignment.</x:t>
  </x:si>
  <x:si>
    <x:t xml:space="preserve">Training &amp; operating
model alignment</x:t>
  </x:si>
  <x:si>
    <x:t xml:space="preserve">3-5 business days
(parallel)</x:t>
  </x:si>
  <x:si>
    <x:t xml:space="preserve">Train-the-trainer and role-based sessions run in parallel with setup, not after setup.</x:t>
  </x:si>
  <x:si>
    <x:t xml:space="preserve">PILOT ROLLOUT</x:t>
  </x:si>
  <x:si>
    <x:t xml:space="preserve">Program setup &amp;
platform configuration</x:t>
  </x:si>
  <x:si>
    <x:t xml:space="preserve">Models 1 &amp; 2 use ready MYCURE baseline with no custom development before pilot. Model 3 uses the same baseline after hosted controls are approved.</x:t>
  </x:si>
  <x:si>
    <x:t xml:space="preserve">First pilot clinic
(1-3 sites)</x:t>
  </x:si>
  <x:si>
    <x:t xml:space="preserve">Week 3-4</x:t>
  </x:si>
  <x:si>
    <x:t xml:space="preserve">Initial pilot scope is intentionally tight. Model 3 starts later, but can still avoid a long delay if VAPT/TPSA and DPA/SLA activities are run in parallel.</x:t>
  </x:si>
  <x:si>
    <x:t xml:space="preserve">WAVE ROLLOUT</x:t>
  </x:si>
  <x:si>
    <x:t xml:space="preserve">Subsequent clinic waves
(batches of 10-20)</x:t>
  </x:si>
  <x:si>
    <x:t xml:space="preserve">2-3 weeks
per wave</x:t>
  </x:si>
  <x:si>
    <x:t xml:space="preserve">Per-clinic onboarding remains standardized once pilot workflow, training, and support paths are stable.</x:t>
  </x:si>
  <x:si>
    <x:t xml:space="preserve">TOTAL ESTIMATED TIMELINE</x:t>
  </x:si>
  <x:si>
    <x:t xml:space="preserve">Contract to first pilot
clinic go-live</x:t>
  </x:si>
  <x:si>
    <x:t xml:space="preserve">~3-4 weeks
(fast-track)</x:t>
  </x:si>
  <x:si>
    <x:t xml:space="preserve">Models 1 &amp; 2 require LOA/SOW, Week 1 hosting readiness, no custom development, and 1-3 clinic pilot scope. Model 3 remains longer, but targeted at ~10-14 weeks with parallel security/legal workstreams.</x:t>
  </x:si>
  <x:si>
    <x:t xml:space="preserve">Contract to full 150-clinic
rollout completion</x:t>
  </x:si>
  <x:si>
    <x:t xml:space="preserve">~5-9 months</x:t>
  </x:si>
  <x:si>
    <x:t xml:space="preserve">Fast-track first pilot can pull the front end forward. Model 3 remains longer due to hosted-security approval, but not proportionally delayed once the cloud service is cleared.</x:t>
  </x:si>
  <x:si>
    <x:t xml:space="preserve">5-Year Total Cost of Ownership (TCO) — Per Clinic (Core Only)</x:t>
  </x:si>
  <x:si>
    <x:t xml:space="preserve">Cost Component</x:t>
  </x:si>
  <x:si>
    <x:t xml:space="preserve">Notes</x:t>
  </x:si>
  <x:si>
    <x:t xml:space="preserve">ASSUMPTIONS</x:t>
  </x:si>
  <x:si>
    <x:t xml:space="preserve">Core license (one-time promo)</x:t>
  </x:si>
  <x:si>
    <x:t xml:space="preserve">N/A</x:t>
  </x:si>
  <x:si>
    <x:t xml:space="preserve">Discounted lock-in rate; post-promo list rate is ₱300,000</x:t>
  </x:si>
  <x:si>
    <x:t xml:space="preserve">Managed service fee (monthly promo)</x:t>
  </x:si>
  <x:si>
    <x:t xml:space="preserve">5-YEAR COST BREAKDOWN (per clinic, Core only)</x:t>
  </x:si>
  <x:si>
    <x:t xml:space="preserve">Year 1</x:t>
  </x:si>
  <x:si>
    <x:t xml:space="preserve">Year 2</x:t>
  </x:si>
  <x:si>
    <x:t xml:space="preserve">Year 3</x:t>
  </x:si>
  <x:si>
    <x:t xml:space="preserve">Year 4</x:t>
  </x:si>
  <x:si>
    <x:t xml:space="preserve">Year 5</x:t>
  </x:si>
  <x:si>
    <x:t xml:space="preserve">5-YEAR TOTAL (per clinic)</x:t>
  </x:si>
  <x:si>
    <x:t xml:space="preserve">₱560,000</x:t>
  </x:si>
  <x:si>
    <x:t xml:space="preserve">Effective monthly cost
(over 60 months)</x:t>
  </x:si>
  <x:si>
    <x:t xml:space="preserve">₱9,333</x:t>
  </x:si>
  <x:si>
    <x:t xml:space="preserve">Commercial Model Comparison — Quick Reference</x:t>
  </x:si>
  <x:si>
    <x:t xml:space="preserve">Dimension</x:t>
  </x:si>
  <x:si>
    <x:t xml:space="preserve">Model 1
Perpetual License
MediCard Hosting</x:t>
  </x:si>
  <x:si>
    <x:t xml:space="preserve">Upfront investment</x:t>
  </x:si>
  <x:si>
    <x:t xml:space="preserve">Highest
(full license + implementation)</x:t>
  </x:si>
  <x:si>
    <x:t xml:space="preserve">Monthly cash outflow</x:t>
  </x:si>
  <x:si>
    <x:t xml:space="preserve">None
(AMS billed annually)</x:t>
  </x:si>
  <x:si>
    <x:t xml:space="preserve">5-Year TCO
(Core only, per clinic)</x:t>
  </x:si>
  <x:si>
    <x:t xml:space="preserve">Middle before
MediCard hosting infra</x:t>
  </x:si>
  <x:si>
    <x:t xml:space="preserve">Hosting responsibility</x:t>
  </x:si>
  <x:si>
    <x:t xml:space="preserve">MediCard IT
(servers, backups, uptime)</x:t>
  </x:si>
  <x:si>
    <x:t xml:space="preserve">Data residency</x:t>
  </x:si>
  <x:si>
    <x:t xml:space="preserve">MediCard-controlled
(on-prem or own cloud)</x:t>
  </x:si>
  <x:si>
    <x:t xml:space="preserve">Security review
effort for MediCard</x:t>
  </x:si>
  <x:si>
    <x:t xml:space="preserve">Light
(app ready; internal path)</x:t>
  </x:si>
  <x:si>
    <x:t xml:space="preserve">Time to first
pilot go-live</x:t>
  </x:si>
  <x:si>
    <x:t xml:space="preserve">Scalability
(adding clinics)</x:t>
  </x:si>
  <x:si>
    <x:t xml:space="preserve">Requires MediCard
to provision infra
per batch</x:t>
  </x:si>
  <x:si>
    <x:t xml:space="preserve">Software ownership
after contract ends</x:t>
  </x:si>
  <x:si>
    <x:t xml:space="preserve">MediCard retains
perpetual license
(last version at exit)</x:t>
  </x:si>
  <x:si>
    <x:t xml:space="preserve">Best fit for</x:t>
  </x:si>
  <x:si>
    <x:t xml:space="preserve">MediCard prefers
full ownership &amp;
control of data/infra</x:t>
  </x:si>
  <x:si>
    <x:t xml:space="preserve">Risk to MYCURE</x:t>
  </x:si>
  <x:si>
    <x:t xml:space="preserve">Revenue front-loaded;
relies on AMS renewals</x:t>
  </x:si>
  <x:si>
    <x:t xml:space="preserve">Risk to MediCard</x:t>
  </x:si>
  <x:si>
    <x:t xml:space="preserve">Capex-heavy;
infra maintenance
burden</x:t>
  </x:si>
</x:sst>
</file>

<file path=xl/styles.xml><?xml version="1.0" encoding="utf-8"?>
<x:styleSheet xmlns:x="http://schemas.openxmlformats.org/spreadsheetml/2006/main">
  <x:numFmts count="2">
    <x:numFmt numFmtId="164" formatCode="\₱#,##0"/>
    <x:numFmt numFmtId="200" formatCode="₱#,##0"/>
  </x:numFmts>
  <x:fonts count="26">
    <x:font>
      <x:sz val="11"/>
      <x:color theme="1"/>
      <x:name val="Calibri"/>
    </x:font>
    <x:font>
      <x:b/>
      <x:sz val="18"/>
      <x:color rgb="FF0B3F75"/>
      <x:name val="Play"/>
    </x:font>
    <x:font/>
    <x:font>
      <x:i/>
      <x:sz val="10"/>
      <x:color rgb="FF5F6B7A"/>
      <x:name val="Aptos"/>
    </x:font>
    <x:font>
      <x:sz val="11"/>
      <x:color rgb="FF111827"/>
      <x:name val="Aptos"/>
    </x:font>
    <x:font>
      <x:b/>
      <x:sz val="12"/>
      <x:color rgb="FFFFFFFF"/>
      <x:name val="Aptos"/>
    </x:font>
    <x:font>
      <x:b/>
      <x:sz val="12"/>
      <x:color rgb="FFFFFFFF"/>
      <x:name val="Arial"/>
    </x:font>
    <x:font>
      <x:b/>
      <x:sz val="11"/>
      <x:color rgb="FF062B3A"/>
      <x:name val="Aptos"/>
    </x:font>
    <x:font>
      <x:b/>
      <x:sz val="11"/>
      <x:color rgb="FF111827"/>
      <x:name val="Aptos"/>
    </x:font>
    <x:font>
      <x:b/>
      <x:sz val="12"/>
      <x:color rgb="FF0057B8"/>
      <x:name val="Aptos"/>
    </x:font>
    <x:font>
      <x:b/>
      <x:sz val="12"/>
      <x:color rgb="FF0057B8"/>
      <x:name val="Arial"/>
    </x:font>
    <x:font>
      <x:sz val="11"/>
      <x:color rgb="FF111827"/>
      <x:name val="Arial"/>
    </x:font>
    <x:font>
      <x:b/>
      <x:sz val="11"/>
      <x:color rgb="FF0B3F75"/>
      <x:name val="Aptos"/>
    </x:font>
    <x:font>
      <x:b/>
      <x:sz val="11"/>
      <x:color rgb="FF0057B8"/>
      <x:name val="Aptos"/>
    </x:font>
    <x:font>
      <x:b/>
      <x:sz val="11"/>
      <x:color rgb="FF000000"/>
      <x:name val="Aptos"/>
    </x:font>
    <x:font>
      <x:i/>
      <x:sz val="11"/>
      <x:color rgb="FF5F6B7A"/>
      <x:name val="Aptos"/>
    </x:font>
    <x:font>
      <x:sz val="11"/>
      <x:color theme="1"/>
      <x:name val="Calibri"/>
    </x:font>
    <x:font>
      <x:b/>
      <x:sz val="11"/>
      <x:color rgb="FF111827"/>
      <x:name val="Arial"/>
    </x:font>
    <x:font>
      <x:color theme="1"/>
      <x:name val="Calibri"/>
    </x:font>
    <x:font>
      <x:b/>
      <x:sz val="11"/>
      <x:color rgb="FF166534"/>
      <x:name val="Aptos"/>
    </x:font>
    <x:font>
      <x:b/>
      <x:sz val="11"/>
      <x:color rgb="FF7A1D1D"/>
      <x:name val="Aptos"/>
    </x:font>
    <x:font>
      <x:b/>
      <x:sz val="11"/>
      <x:color rgb="FF5F6B7A"/>
      <x:name val="Aptos"/>
    </x:font>
    <x:font>
      <x:b/>
      <x:sz val="11"/>
      <x:color rgb="FF111827"/>
      <x:name val="&quot;Aptos Narrow&quot;"/>
    </x:font>
    <x:font>
      <x:b/>
      <x:sz val="11"/>
      <x:color theme="1"/>
      <x:name val="Calibri"/>
    </x:font>
    <x:font>
      <x:b/>
      <x:sz val="11"/>
      <x:color rgb="FF0B2E3D"/>
      <x:name val="Calibri"/>
    </x:font>
    <x:font>
      <x:b/>
      <x:sz val="11"/>
      <x:color rgb="FFFFFFFF"/>
      <x:name val="Calibri"/>
    </x:font>
  </x:fonts>
  <x:fills count="13">
    <x:fill>
      <x:patternFill patternType="none"/>
    </x:fill>
    <x:fill>
      <x:patternFill patternType="lightGray"/>
    </x:fill>
    <x:fill>
      <x:patternFill patternType="solid">
        <x:fgColor rgb="FF0B3F75"/>
      </x:patternFill>
    </x:fill>
    <x:fill>
      <x:patternFill patternType="solid">
        <x:fgColor rgb="FF78D3DF"/>
      </x:patternFill>
    </x:fill>
    <x:fill>
      <x:patternFill patternType="solid">
        <x:fgColor rgb="FFDDF4F7"/>
      </x:patternFill>
    </x:fill>
    <x:fill>
      <x:patternFill patternType="solid">
        <x:fgColor rgb="FFF8FAFC"/>
      </x:patternFill>
    </x:fill>
    <x:fill>
      <x:patternFill patternType="solid">
        <x:fgColor rgb="FFFFF3CC"/>
      </x:patternFill>
    </x:fill>
    <x:fill>
      <x:patternFill patternType="solid">
        <x:fgColor rgb="FFDCFCE7"/>
      </x:patternFill>
    </x:fill>
    <x:fill>
      <x:patternFill patternType="solid">
        <x:fgColor rgb="FFFFFFFF"/>
      </x:patternFill>
    </x:fill>
    <x:fill>
      <x:patternFill patternType="solid">
        <x:fgColor rgb="FFFFE8E8"/>
      </x:patternFill>
    </x:fill>
    <x:fill>
      <x:patternFill patternType="solid">
        <x:fgColor rgb="FFF2F2F2"/>
      </x:patternFill>
    </x:fill>
    <x:fill>
      <x:patternFill patternType="solid">
        <x:fgColor rgb="FF6CCBD3"/>
      </x:patternFill>
    </x:fill>
    <x:fill>
      <x:patternFill patternType="solid">
        <x:fgColor rgb="FF0E4778"/>
      </x:patternFill>
    </x:fill>
  </x:fills>
  <x:borders count="14">
    <x:border/>
    <x:border>
      <x:bottom style="thin">
        <x:color rgb="FFD7DEE8"/>
      </x:bottom>
    </x:border>
    <x:border>
      <x:right style="thin">
        <x:color rgb="FFD7DEE8"/>
      </x:right>
      <x:bottom style="thin">
        <x:color rgb="FFD7DEE8"/>
      </x:bottom>
    </x:border>
    <x:border>
      <x:top style="thin">
        <x:color rgb="FFD7DEE8"/>
      </x:top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9AC6CE"/>
      </x:left>
      <x:top style="thin">
        <x:color rgb="FF9AC6CE"/>
      </x:top>
      <x:bottom style="thin">
        <x:color rgb="FF9AC6CE"/>
      </x:bottom>
    </x:border>
    <x:border>
      <x:top style="thin">
        <x:color rgb="FF9AC6CE"/>
      </x:top>
      <x:bottom style="thin">
        <x:color rgb="FF9AC6CE"/>
      </x:bottom>
    </x:border>
    <x:border>
      <x:right style="thin">
        <x:color rgb="FF9AC6CE"/>
      </x:right>
      <x:top style="thin">
        <x:color rgb="FF9AC6CE"/>
      </x:top>
      <x:bottom style="thin">
        <x:color rgb="FF9AC6CE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</x:borders>
  <x:cellStyleXfs count="1">
    <x:xf numFmtId="0" fontId="0" fillId="0" borderId="0" applyFont="1" applyAlignment="1"/>
  </x:cellStyleXfs>
  <x:cellXfs count="66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>
      <x:alignment horizontal="left" vertical="center" wrapText="1"/>
    </x:xf>
    <x:xf numFmtId="0" fontId="2" fillId="0" borderId="1" xfId="0" applyFont="1" applyBorder="1"/>
    <x:xf numFmtId="0" fontId="2" fillId="0" borderId="2" xfId="0" applyFont="1" applyBorder="1"/>
    <x:xf numFmtId="0" fontId="3" fillId="0" borderId="3" xfId="0" applyFont="1" applyBorder="1" applyAlignment="1">
      <x:alignment vertical="center" wrapText="1"/>
    </x:xf>
    <x:xf numFmtId="0" fontId="2" fillId="0" borderId="3" xfId="0" applyFont="1" applyBorder="1"/>
    <x:xf numFmtId="0" fontId="2" fillId="0" borderId="4" xfId="0" applyFont="1" applyBorder="1"/>
    <x:xf numFmtId="0" fontId="4" fillId="0" borderId="5" xfId="0" applyFont="1" applyBorder="1" applyAlignment="1">
      <x:alignment vertical="center" wrapText="1"/>
    </x:xf>
    <x:xf numFmtId="0" fontId="5" fillId="2" borderId="6" xfId="0" applyFont="1" applyFill="1" applyBorder="1" applyAlignment="1">
      <x:alignment horizontal="center" vertical="center" wrapText="1"/>
    </x:xf>
    <x:xf numFmtId="0" fontId="6" fillId="2" borderId="6" xfId="0" applyFont="1" applyBorder="1" applyAlignment="1">
      <x:alignment horizontal="center" vertical="center" wrapText="1"/>
    </x:xf>
    <x:xf numFmtId="0" fontId="7" fillId="3" borderId="7" xfId="0" applyFont="1" applyFill="1" applyBorder="1" applyAlignment="1">
      <x:alignment horizontal="left" vertical="center" wrapText="1"/>
    </x:xf>
    <x:xf numFmtId="0" fontId="2" fillId="0" borderId="8" xfId="0" applyFont="1" applyBorder="1"/>
    <x:xf numFmtId="0" fontId="2" fillId="0" borderId="9" xfId="0" applyFont="1" applyBorder="1"/>
    <x:xf numFmtId="0" fontId="8" fillId="0" borderId="5" xfId="0" applyFont="1" applyBorder="1" applyAlignment="1">
      <x:alignment horizontal="left" vertical="center" wrapText="1"/>
    </x:xf>
    <x:xf numFmtId="0" fontId="4" fillId="0" borderId="5" xfId="0" applyFont="1" applyBorder="1" applyAlignment="1">
      <x:alignment horizontal="left" vertical="center" wrapText="1"/>
    </x:xf>
    <x:xf numFmtId="164" fontId="9" fillId="0" borderId="5" xfId="0" applyNumberFormat="1" applyFont="1" applyBorder="1" applyAlignment="1">
      <x:alignment horizontal="center" vertical="center" wrapText="1"/>
    </x:xf>
    <x:xf numFmtId="164" fontId="10" fillId="0" borderId="5" xfId="0" applyNumberFormat="1" applyFont="1" applyBorder="1" applyAlignment="1">
      <x:alignment horizontal="center" vertical="center" wrapText="1"/>
    </x:xf>
    <x:xf numFmtId="0" fontId="11" fillId="4" borderId="5" xfId="0" applyFont="1" applyFill="1" applyBorder="1" applyAlignment="1">
      <x:alignment horizontal="left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5" borderId="5" xfId="0" applyFont="1" applyFill="1" applyBorder="1" applyAlignment="1">
      <x:alignment horizontal="left" vertical="center" wrapText="1"/>
    </x:xf>
    <x:xf numFmtId="0" fontId="12" fillId="6" borderId="5" xfId="0" applyFont="1" applyFill="1" applyBorder="1" applyAlignment="1">
      <x:alignment horizontal="left" vertical="center" wrapText="1"/>
    </x:xf>
    <x:xf numFmtId="0" fontId="13" fillId="6" borderId="5" xfId="0" applyFont="1" applyBorder="1" applyAlignment="1">
      <x:alignment horizontal="left" vertical="center" wrapText="1"/>
    </x:xf>
    <x:xf numFmtId="0" fontId="13" fillId="6" borderId="5" xfId="0" applyFont="1" applyBorder="1" applyAlignment="1">
      <x:alignment horizontal="center" vertical="center" wrapText="1"/>
    </x:xf>
    <x:xf numFmtId="0" fontId="4" fillId="6" borderId="5" xfId="0" applyFont="1" applyBorder="1" applyAlignment="1">
      <x:alignment horizontal="left" vertical="center" wrapText="1"/>
    </x:xf>
    <x:xf numFmtId="164" fontId="13" fillId="0" borderId="5" xfId="0" applyNumberFormat="1" applyFont="1" applyBorder="1" applyAlignment="1">
      <x:alignment horizontal="center" vertical="center" wrapText="1"/>
    </x:xf>
    <x:xf numFmtId="0" fontId="14" fillId="0" borderId="5" xfId="0" applyFont="1" applyBorder="1" applyAlignment="1">
      <x:alignment vertical="center" wrapText="1"/>
    </x:xf>
    <x:xf numFmtId="0" fontId="13" fillId="0" borderId="5" xfId="0" applyFont="1" applyBorder="1" applyAlignment="1">
      <x:alignment horizontal="left" vertical="center" wrapText="1"/>
    </x:xf>
    <x:xf numFmtId="164" fontId="4" fillId="0" borderId="5" xfId="0" applyNumberFormat="1" applyFont="1" applyBorder="1" applyAlignment="1">
      <x:alignment horizontal="center" vertical="center" wrapText="1"/>
    </x:xf>
    <x:xf numFmtId="0" fontId="15" fillId="0" borderId="2" xfId="0" applyFont="1" applyBorder="1" applyAlignment="1">
      <x:alignment vertical="center" wrapText="1"/>
    </x:xf>
    <x:xf numFmtId="0" fontId="15" fillId="0" borderId="10" xfId="0" applyFont="1" applyBorder="1" applyAlignment="1">
      <x:alignment vertical="center" wrapText="1"/>
    </x:xf>
    <x:xf numFmtId="0" fontId="15" fillId="0" borderId="11" xfId="0" applyFont="1" applyBorder="1" applyAlignment="1">
      <x:alignment vertical="center" wrapText="1"/>
    </x:xf>
    <x:xf numFmtId="0" fontId="15" fillId="0" borderId="4" xfId="0" applyFont="1" applyBorder="1" applyAlignment="1">
      <x:alignment vertical="center" wrapText="1"/>
    </x:xf>
    <x:xf numFmtId="0" fontId="15" fillId="0" borderId="12" xfId="0" applyFont="1" applyBorder="1" applyAlignment="1">
      <x:alignment vertical="center" wrapText="1"/>
    </x:xf>
    <x:xf numFmtId="0" fontId="15" fillId="0" borderId="13" xfId="0" applyFont="1" applyBorder="1" applyAlignment="1">
      <x:alignment vertical="center" wrapText="1"/>
    </x:xf>
    <x:xf numFmtId="0" fontId="16" fillId="0" borderId="0" xfId="0" applyFont="1" applyAlignment="1">
      <x:alignment vertical="center" wrapText="1"/>
    </x:xf>
    <x:xf numFmtId="0" fontId="17" fillId="0" borderId="5" xfId="0" applyFont="1" applyBorder="1" applyAlignment="1">
      <x:alignment horizontal="left" vertical="center" wrapText="1"/>
    </x:xf>
    <x:xf numFmtId="0" fontId="18" fillId="0" borderId="0" xfId="0" applyFont="1" applyAlignment="1"/>
    <x:xf numFmtId="0" fontId="1" fillId="0" borderId="1" xfId="0" applyFont="1" applyBorder="1" applyAlignment="1">
      <x:alignment vertical="center" wrapText="1"/>
    </x:xf>
    <x:xf numFmtId="0" fontId="1" fillId="0" borderId="0" xfId="0" applyFont="1" applyAlignment="1">
      <x:alignment vertical="center" wrapText="1"/>
    </x:xf>
    <x:xf numFmtId="0" fontId="4" fillId="7" borderId="5" xfId="0" applyFont="1" applyFill="1" applyBorder="1" applyAlignment="1">
      <x:alignment horizontal="center" vertical="center" wrapText="1"/>
    </x:xf>
    <x:xf numFmtId="0" fontId="4" fillId="8" borderId="5" xfId="0" applyFont="1" applyFill="1" applyBorder="1" applyAlignment="1">
      <x:alignment horizontal="center" vertical="center" wrapText="1"/>
    </x:xf>
    <x:xf numFmtId="0" fontId="4" fillId="9" borderId="5" xfId="0" applyFont="1" applyFill="1" applyBorder="1" applyAlignment="1">
      <x:alignment horizontal="center" vertical="center" wrapText="1"/>
    </x:xf>
    <x:xf numFmtId="0" fontId="8" fillId="6" borderId="5" xfId="0" applyFont="1" applyBorder="1" applyAlignment="1">
      <x:alignment horizontal="left" vertical="center" wrapText="1"/>
    </x:xf>
    <x:xf numFmtId="0" fontId="19" fillId="7" borderId="5" xfId="0" applyFont="1" applyBorder="1" applyAlignment="1">
      <x:alignment horizontal="center" vertical="center" wrapText="1"/>
    </x:xf>
    <x:xf numFmtId="0" fontId="20" fillId="6" borderId="5" xfId="0" applyFont="1" applyBorder="1" applyAlignment="1">
      <x:alignment horizontal="center" vertical="center" wrapText="1"/>
    </x:xf>
    <x:xf numFmtId="0" fontId="21" fillId="6" borderId="5" xfId="0" applyFont="1" applyBorder="1" applyAlignment="1">
      <x:alignment horizontal="left" vertical="center" wrapText="1"/>
    </x:xf>
    <x:xf numFmtId="0" fontId="8" fillId="7" borderId="5" xfId="0" applyFont="1" applyBorder="1" applyAlignment="1">
      <x:alignment horizontal="center" vertical="center" wrapText="1"/>
    </x:xf>
    <x:xf numFmtId="0" fontId="13" fillId="0" borderId="5" xfId="0" applyFont="1" applyBorder="1" applyAlignment="1">
      <x:alignment horizontal="center" vertical="center" wrapText="1"/>
    </x:xf>
    <x:xf numFmtId="164" fontId="11" fillId="0" borderId="5" xfId="0" applyNumberFormat="1" applyFont="1" applyBorder="1" applyAlignment="1">
      <x:alignment horizontal="center" vertical="center" wrapText="1"/>
    </x:xf>
    <x:xf numFmtId="164" fontId="22" fillId="6" borderId="5" xfId="0" applyNumberFormat="1" applyFont="1" applyBorder="1" applyAlignment="1">
      <x:alignment horizontal="center"/>
    </x:xf>
    <x:xf numFmtId="0" fontId="8" fillId="6" borderId="5" xfId="0" applyFont="1" applyBorder="1" applyAlignment="1">
      <x:alignment vertical="center" wrapText="1"/>
    </x:xf>
    <x:xf numFmtId="0" fontId="3" fillId="0" borderId="4" xfId="0" applyFont="1" applyBorder="1" applyAlignment="1">
      <x:alignment vertical="center" wrapText="1"/>
    </x:xf>
    <x:xf numFmtId="0" fontId="3" fillId="0" borderId="12" xfId="0" applyFont="1" applyBorder="1" applyAlignment="1">
      <x:alignment vertical="center" wrapText="1"/>
    </x:xf>
    <x:xf numFmtId="0" fontId="8" fillId="10" borderId="5" xfId="0" applyFont="1" applyFill="1" applyBorder="1" applyAlignment="1">
      <x:alignment horizontal="left" vertical="center" wrapText="1"/>
    </x:xf>
    <x:xf numFmtId="0" fontId="4" fillId="10" borderId="5" xfId="0" applyFont="1" applyBorder="1" applyAlignment="1">
      <x:alignment horizontal="center" vertical="center" wrapText="1"/>
    </x:xf>
    <x:xf numFmtId="0" fontId="20" fillId="9" borderId="5" xfId="0" applyFont="1" applyBorder="1" applyAlignment="1">
      <x:alignment horizontal="center" vertical="center" wrapText="1"/>
    </x:xf>
    <x:xf numFmtId="164" fontId="10" fillId="0" borderId="5" xfId="0" applyNumberFormat="1" applyFont="1" applyFill="1" applyBorder="1" applyAlignment="1">
      <x:alignment horizontal="center" vertical="center" wrapText="1"/>
    </x:xf>
    <x:xf numFmtId="164" fontId="9" fillId="0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23" fillId="11" borderId="0" xfId="0" applyNumberFormat="1" applyFont="1" applyFill="1" applyBorder="1" applyAlignment="1">
      <x:alignment vertical="center" wrapText="1"/>
    </x:xf>
    <x:xf numFmtId="0" fontId="24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23" fillId="12" borderId="0" xfId="0" applyNumberFormat="1" applyFont="1" applyFill="1" applyBorder="1" applyAlignment="1">
      <x:alignment vertical="center" wrapText="1"/>
    </x:xf>
    <x:xf numFmtId="0" fontId="25" fillId="1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fcac56037744e6" /><Relationship Type="http://schemas.openxmlformats.org/officeDocument/2006/relationships/theme" Target="/xl/theme/theme1.xml" Id="Rce32fa031c5241f3" /><Relationship Type="http://schemas.openxmlformats.org/officeDocument/2006/relationships/sharedStrings" Target="/xl/sharedStrings.xml" Id="R30c7c749238b44d5" /><Relationship Type="http://schemas.openxmlformats.org/officeDocument/2006/relationships/worksheet" Target="/xl/worksheets/sheet1.xml" Id="R0d9fe9c9421f4e16" /><Relationship Type="http://schemas.openxmlformats.org/officeDocument/2006/relationships/worksheet" Target="/xl/worksheets/sheet2.xml" Id="R6c8ba447fb3b4899" /><Relationship Type="http://schemas.openxmlformats.org/officeDocument/2006/relationships/worksheet" Target="/xl/worksheets/sheet3.xml" Id="Rc09c1e3da33b436d" /><Relationship Type="http://schemas.openxmlformats.org/officeDocument/2006/relationships/worksheet" Target="/xl/worksheets/sheet4.xml" Id="R8ff7e9541a04450f" /><Relationship Type="http://schemas.openxmlformats.org/officeDocument/2006/relationships/worksheet" Target="/xl/worksheets/sheet5.xml" Id="Ra86adf2047c94adb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77B6"/>
  </x:sheetPr>
  <x:sheetViews>
    <x:sheetView showGridLines="0" workbookViewId="0"/>
  </x:sheetViews>
  <x:sheetFormatPr defaultColWidth="14.430000305175781" defaultRowHeight="15"/>
  <x:cols>
    <x:col min="1" max="1" width="17.219999313354492" hidden="0" customWidth="1"/>
    <x:col min="2" max="2" width="30.559999465942383" hidden="0" customWidth="1"/>
    <x:col min="3" max="3" width="38.88999938964844" hidden="0" customWidth="1"/>
    <x:col min="4" max="4" width="46.66999816894531" hidden="0" customWidth="1"/>
    <x:col min="5" max="5" width="50.560001373291016" hidden="0" customWidth="1"/>
    <x:col min="6" max="6" width="71.11000061035156" hidden="0" customWidth="1"/>
    <x:col min="7" max="26" width="8.710000038146973" customWidth="1"/>
  </x:cols>
  <x:sheetData>
    <x:row r="1">
      <x:c r="A1" s="1" t="s">
        <x:v>0</x:v>
      </x:c>
      <x:c r="B1" s="2"/>
      <x:c r="C1" s="2"/>
      <x:c r="D1" s="2"/>
      <x:c r="E1" s="2"/>
      <x:c r="F1" s="3"/>
    </x:row>
    <x:row r="2">
      <x:c r="A2" s="4" t="s">
        <x:v>1</x:v>
      </x:c>
      <x:c r="B2" s="5"/>
      <x:c r="C2" s="5"/>
      <x:c r="D2" s="5"/>
      <x:c r="E2" s="5"/>
      <x:c r="F2" s="6"/>
    </x:row>
    <x:row r="3">
      <x:c r="A3" s="7"/>
      <x:c r="B3" s="7"/>
      <x:c r="C3" s="7"/>
      <x:c r="D3" s="7"/>
      <x:c r="E3" s="7"/>
      <x:c r="F3" s="7"/>
    </x:row>
    <x:row r="4" ht="67.5" customHeight="1">
      <x:c r="A4" s="8" t="s">
        <x:v>2</x:v>
      </x:c>
      <x:c r="B4" s="8" t="s">
        <x:v>3</x:v>
      </x:c>
      <x:c r="C4" s="8" t="str">
        <x:v>Model 1
Perpetual License
MediCard Hosting</x:v>
      </x:c>
      <x:c r="D4" s="9" t="str">
        <x:v>Model 2
Corporate Service Plan
MYCURE Hosting</x:v>
      </x:c>
      <x:c r="E4" s="9" t="str">
        <x:v>Model 3
Corporate Service Plan
MediCard Hosting</x:v>
      </x:c>
      <x:c r="F4" s="8" t="s">
        <x:v>4</x:v>
      </x:c>
    </x:row>
    <x:row r="5" ht="24" customHeight="1">
      <x:c r="A5" s="10" t="s">
        <x:v>5</x:v>
      </x:c>
      <x:c r="B5" s="11"/>
      <x:c r="C5" s="11"/>
      <x:c r="D5" s="11"/>
      <x:c r="E5" s="11"/>
      <x:c r="F5" s="12"/>
    </x:row>
    <x:row r="6" ht="99" customHeight="1">
      <x:c r="A6" s="13" t="s">
        <x:v>6</x:v>
      </x:c>
      <x:c r="B6" s="14" t="s">
        <x:v>7</x:v>
      </x:c>
      <x:c r="C6" s="15" t="s">
        <x:v>8</x:v>
      </x:c>
      <x:c r="D6" s="56" t="str">
        <x:v>Starts at ₱18,000 / clinic / month
MYCURE-hosted managed service
See bulk pricing table below</x:v>
      </x:c>
      <x:c r="E6" s="57" t="str">
        <x:v>Starts at ₱12,500 / clinic / month
MediCard-hosted managed service
See bulk pricing table below</x:v>
      </x:c>
      <x:c r="F6" s="14" t="s">
        <x:v>9</x:v>
      </x:c>
    </x:row>
    <x:row r="7" ht="51" customHeight="1">
      <x:c r="A7" s="13"/>
      <x:c r="B7" s="17" t="s">
        <x:v>10</x:v>
      </x:c>
      <x:c r="C7" s="18" t="s">
        <x:v>11</x:v>
      </x:c>
      <x:c r="D7" s="18" t="s">
        <x:v>11</x:v>
      </x:c>
      <x:c r="E7" s="18" t="s">
        <x:v>11</x:v>
      </x:c>
      <x:c r="F7" s="19" t="s">
        <x:v>12</x:v>
      </x:c>
    </x:row>
    <x:row r="8" ht="51" customHeight="1">
      <x:c r="A8" s="13"/>
      <x:c r="B8" s="17" t="s">
        <x:v>13</x:v>
      </x:c>
      <x:c r="C8" s="18" t="s">
        <x:v>11</x:v>
      </x:c>
      <x:c r="D8" s="18" t="s">
        <x:v>11</x:v>
      </x:c>
      <x:c r="E8" s="18" t="s">
        <x:v>11</x:v>
      </x:c>
      <x:c r="F8" s="19" t="s">
        <x:v>14</x:v>
      </x:c>
    </x:row>
    <x:row r="9" ht="51" customHeight="1">
      <x:c r="A9" s="13"/>
      <x:c r="B9" s="17" t="s">
        <x:v>15</x:v>
      </x:c>
      <x:c r="C9" s="18" t="s">
        <x:v>11</x:v>
      </x:c>
      <x:c r="D9" s="18" t="s">
        <x:v>11</x:v>
      </x:c>
      <x:c r="E9" s="18" t="s">
        <x:v>11</x:v>
      </x:c>
      <x:c r="F9" s="19" t="s">
        <x:v>16</x:v>
      </x:c>
    </x:row>
    <x:row r="10" ht="43.5" customHeight="1">
      <x:c r="A10" s="20"/>
      <x:c r="B10" s="21" t="s">
        <x:v>17</x:v>
      </x:c>
      <x:c r="C10" s="22" t="s">
        <x:v>18</x:v>
      </x:c>
      <x:c r="D10" s="22" t="str">
        <x:v>Bulk discount improves as committed clinic volume grows</x:v>
      </x:c>
      <x:c r="E10" s="22" t="str">
        <x:v>Most aggressive bulk discount path; positioned as the cheapest viable model</x:v>
      </x:c>
      <x:c r="F10" s="23" t="str">
        <x:v>Optional add-ons remain priced separately below, so the final package total is transparent and easy to compute.</x:v>
      </x:c>
    </x:row>
    <x:row r="11" ht="39" customHeight="1">
      <x:c r="A11" s="10" t="s">
        <x:v>19</x:v>
      </x:c>
      <x:c r="B11" s="11"/>
      <x:c r="C11" s="11"/>
      <x:c r="D11" s="11"/>
      <x:c r="E11" s="11"/>
      <x:c r="F11" s="12"/>
    </x:row>
    <x:row r="12" ht="39" customHeight="1">
      <x:c r="A12" s="13" t="s">
        <x:v>20</x:v>
      </x:c>
      <x:c r="B12" s="14" t="s">
        <x:v>21</x:v>
      </x:c>
      <x:c r="C12" s="24">
        <x:v>80000.0</x:v>
      </x:c>
      <x:c r="D12" s="24" t="n">
        <x:v>2500</x:v>
      </x:c>
      <x:c r="E12" s="24" t="n">
        <x:v>1800</x:v>
      </x:c>
      <x:c r="F12" s="14" t="str">
        <x:v>Optional module pricing; add only when selected.</x:v>
      </x:c>
    </x:row>
    <x:row r="13" ht="39" customHeight="1">
      <x:c r="A13" s="13" t="s">
        <x:v>20</x:v>
      </x:c>
      <x:c r="B13" s="14" t="s">
        <x:v>22</x:v>
      </x:c>
      <x:c r="C13" s="24">
        <x:v>80000.0</x:v>
      </x:c>
      <x:c r="D13" s="24" t="n">
        <x:v>2500</x:v>
      </x:c>
      <x:c r="E13" s="24" t="n">
        <x:v>1800</x:v>
      </x:c>
      <x:c r="F13" s="14" t="str">
        <x:v>Optional module pricing; add only when selected.</x:v>
      </x:c>
    </x:row>
    <x:row r="14" ht="39" customHeight="1">
      <x:c r="A14" s="13" t="s">
        <x:v>20</x:v>
      </x:c>
      <x:c r="B14" s="14" t="s">
        <x:v>23</x:v>
      </x:c>
      <x:c r="C14" s="24">
        <x:v>50000.0</x:v>
      </x:c>
      <x:c r="D14" s="24" t="n">
        <x:v>2000</x:v>
      </x:c>
      <x:c r="E14" s="24" t="n">
        <x:v>1200</x:v>
      </x:c>
      <x:c r="F14" s="14" t="str">
        <x:v>Optional module pricing; add only when selected.</x:v>
      </x:c>
    </x:row>
    <x:row r="15" ht="39" customHeight="1">
      <x:c r="A15" s="13" t="s">
        <x:v>20</x:v>
      </x:c>
      <x:c r="B15" s="25" t="s">
        <x:v>24</x:v>
      </x:c>
      <x:c r="C15" s="24"/>
      <x:c r="D15" s="24"/>
      <x:c r="E15" s="24"/>
      <x:c r="F15" s="14" t="str">
        <x:v>Integration/sync layer add-on; commercial rate to be finalized.</x:v>
      </x:c>
    </x:row>
    <x:row r="16" ht="39" customHeight="1">
      <x:c r="A16" s="10" t="s">
        <x:v>25</x:v>
      </x:c>
      <x:c r="B16" s="11"/>
      <x:c r="C16" s="11"/>
      <x:c r="D16" s="11"/>
      <x:c r="E16" s="11"/>
      <x:c r="F16" s="12"/>
    </x:row>
    <x:row r="17" ht="39" customHeight="1">
      <x:c r="A17" s="13" t="s">
        <x:v>26</x:v>
      </x:c>
      <x:c r="B17" s="14" t="s">
        <x:v>27</x:v>
      </x:c>
      <x:c r="C17" s="18" t="s">
        <x:v>28</x:v>
      </x:c>
      <x:c r="D17" s="18" t="str">
        <x:v>Included in
managed cloud service</x:v>
      </x:c>
      <x:c r="E17" s="18" t="str">
        <x:v>Included in
managed service</x:v>
      </x:c>
      <x:c r="F17" s="14" t="str">
        <x:v>Perpetual model: AMS billed separately. Service plans include updates, support, and security.</x:v>
      </x:c>
    </x:row>
    <x:row r="18" ht="39" customHeight="1">
      <x:c r="A18" s="13" t="s">
        <x:v>26</x:v>
      </x:c>
      <x:c r="B18" s="14" t="s">
        <x:v>29</x:v>
      </x:c>
      <x:c r="C18" s="18" t="s">
        <x:v>30</x:v>
      </x:c>
      <x:c r="D18" s="18" t="str">
        <x:v>Included in
managed cloud service</x:v>
      </x:c>
      <x:c r="E18" s="18" t="str">
        <x:v>MediCard's cost
(own infra)</x:v>
      </x:c>
      <x:c r="F18" s="14" t="str">
        <x:v>Model 2: MYCURE absorbs hosting. Models 1 &amp; 3: MediCard provisions servers.</x:v>
      </x:c>
    </x:row>
    <x:row r="19" ht="39" customHeight="1">
      <x:c r="A19" s="10" t="s">
        <x:v>31</x:v>
      </x:c>
      <x:c r="B19" s="11"/>
      <x:c r="C19" s="11"/>
      <x:c r="D19" s="11"/>
      <x:c r="E19" s="11"/>
      <x:c r="F19" s="12"/>
    </x:row>
    <x:row r="20" ht="63" customHeight="1">
      <x:c r="A20" s="13" t="s">
        <x:v>32</x:v>
      </x:c>
      <x:c r="B20" s="26" t="s">
        <x:v>33</x:v>
      </x:c>
      <x:c r="C20" s="24">
        <x:v>3000000.0</x:v>
      </x:c>
      <x:c r="D20" s="24" t="n">
        <x:v>3500000</x:v>
      </x:c>
      <x:c r="E20" s="24" t="n">
        <x:v>3000000</x:v>
      </x:c>
      <x:c r="F20" s="14" t="str">
        <x:v>Implementation fee covers the first 50 clinics, including pilot setup, onboarding, training, rollout support, and hypercare. Model 2 remains higher due to security review, DPA setup, and cloud onboarding scoping.</x:v>
      </x:c>
    </x:row>
    <x:row r="21" ht="39" customHeight="1">
      <x:c r="A21" s="13" t="s">
        <x:v>32</x:v>
      </x:c>
      <x:c r="B21" s="14" t="s">
        <x:v>34</x:v>
      </x:c>
      <x:c r="C21" s="27">
        <x:v>50000.0</x:v>
      </x:c>
      <x:c r="D21" s="27" t="n">
        <x:v>35000</x:v>
      </x:c>
      <x:c r="E21" s="27" t="n">
        <x:v>50000</x:v>
      </x:c>
      <x:c r="F21" s="14" t="str">
        <x:v>Model 2 lower per-clinic onboarding since infra is pre-provisioned. Model 3 follows MediCard-hosted rollout effort.</x:v>
      </x:c>
    </x:row>
    <x:row r="22" ht="15.75" customHeight="1">
      <x:c r="A22" s="28"/>
      <x:c r="B22" s="29"/>
      <x:c r="C22" s="29"/>
      <x:c r="D22" s="29"/>
      <x:c r="E22" s="29"/>
      <x:c r="F22" s="30"/>
    </x:row>
    <x:row r="23" ht="15.75" customHeight="1">
      <x:c r="A23" s="31"/>
      <x:c r="B23" s="32"/>
      <x:c r="C23" s="32"/>
      <x:c r="D23" s="32"/>
      <x:c r="E23" s="32"/>
      <x:c r="F23" s="33"/>
    </x:row>
    <x:row r="24" ht="25.5" customHeight="1">
      <x:c r="A24" s="61" t="str">
        <x:v>BULK PRICING REFERENCE</x:v>
      </x:c>
      <x:c r="B24" s="61"/>
      <x:c r="C24" s="61"/>
      <x:c r="D24" s="61"/>
      <x:c r="E24" s="61"/>
      <x:c r="F24" s="61"/>
    </x:row>
    <x:row r="25" ht="25.5" customHeight="1">
      <x:c r="A25" s="64" t="str">
        <x:v>Bulk</x:v>
      </x:c>
      <x:c r="B25" s="64" t="str">
        <x:v>Model 2
MYCURE Hosting</x:v>
      </x:c>
      <x:c r="C25" s="64" t="str">
        <x:v>Model 3
MediCard Hosting</x:v>
      </x:c>
      <x:c r="D25" s="64" t="str">
        <x:v>Model 2 Offer Logic</x:v>
      </x:c>
      <x:c r="E25" s="64" t="str">
        <x:v>Model 3 Offer Logic</x:v>
      </x:c>
      <x:c r="F25" s="64" t="str">
        <x:v>Commercial Positioning</x:v>
      </x:c>
    </x:row>
    <x:row r="26" ht="25.5" customHeight="1">
      <x:c r="A26" s="58" t="str">
        <x:v>1 clinic</x:v>
      </x:c>
      <x:c r="B26" s="58" t="str">
        <x:v>₱18,000</x:v>
      </x:c>
      <x:c r="C26" s="65" t="str">
        <x:v>₱12,500</x:v>
      </x:c>
      <x:c r="D26" s="65" t="str">
        <x:v>Anchor price</x:v>
      </x:c>
      <x:c r="E26" s="65" t="str">
        <x:v>Entry rate</x:v>
      </x:c>
      <x:c r="F26" s="58" t="str">
        <x:v>Single-clinic pilot / entry pricing</x:v>
      </x:c>
    </x:row>
    <x:row r="27" ht="25.5" customHeight="1">
      <x:c r="A27" s="58" t="str">
        <x:v>10-49 clinics</x:v>
      </x:c>
      <x:c r="B27" s="58" t="str">
        <x:v>₱16,200</x:v>
      </x:c>
      <x:c r="C27" s="65" t="str">
        <x:v>₱11,250</x:v>
      </x:c>
      <x:c r="D27" s="65" t="str">
        <x:v>10% volume discount</x:v>
      </x:c>
      <x:c r="E27" s="65" t="str">
        <x:v>10% volume discount</x:v>
      </x:c>
      <x:c r="F27" s="58" t="str">
        <x:v>First meaningful commitment band</x:v>
      </x:c>
    </x:row>
    <x:row r="28" ht="25.5" customHeight="1">
      <x:c r="A28" s="58" t="str">
        <x:v>50-99 clinics</x:v>
      </x:c>
      <x:c r="B28" s="58" t="str">
        <x:v>₱14,400</x:v>
      </x:c>
      <x:c r="C28" s="65" t="str">
        <x:v>₱9,000</x:v>
      </x:c>
      <x:c r="D28" s="65" t="str">
        <x:v>20% volume discount</x:v>
      </x:c>
      <x:c r="E28" s="65" t="str">
        <x:v>Scale rollout rate</x:v>
      </x:c>
      <x:c r="F28" s="58" t="str">
        <x:v>Scaled rollout band</x:v>
      </x:c>
    </x:row>
    <x:row r="29" ht="25.5" customHeight="1">
      <x:c r="A29" s="58" t="str">
        <x:v>100-149 clinics</x:v>
      </x:c>
      <x:c r="B29" s="58" t="str">
        <x:v>₱13,500</x:v>
      </x:c>
      <x:c r="C29" s="65" t="str">
        <x:v>₱6,750</x:v>
      </x:c>
      <x:c r="D29" s="65" t="str">
        <x:v>25% volume discount</x:v>
      </x:c>
      <x:c r="E29" s="65" t="str">
        <x:v>Preferred enterprise rate</x:v>
      </x:c>
      <x:c r="F29" s="58" t="str">
        <x:v>Preferred large-network commitment</x:v>
      </x:c>
    </x:row>
    <x:row r="30" ht="25.5" customHeight="1">
      <x:c r="A30" s="58" t="str">
        <x:v>150+ clinics</x:v>
      </x:c>
      <x:c r="B30" s="58" t="str">
        <x:v>₱12,600</x:v>
      </x:c>
      <x:c r="C30" s="58" t="str">
        <x:v>₱5,400</x:v>
      </x:c>
      <x:c r="D30" s="58" t="str">
        <x:v>30% strategic rollout discount</x:v>
      </x:c>
      <x:c r="E30" s="58" t="str">
        <x:v>Strategic full-network rate</x:v>
      </x:c>
      <x:c r="F30" s="58" t="str">
        <x:v>Best-value full-network path</x:v>
      </x:c>
    </x:row>
    <x:row r="31" ht="25.5" customHeight="1">
      <x:c r="A31" s="58" t="str">
        <x:v>Note</x:v>
      </x:c>
      <x:c r="B31" s="58"/>
      <x:c r="C31" s="58"/>
      <x:c r="D31" s="58"/>
      <x:c r="E31" s="58"/>
      <x:c r="F31" s="58" t="str">
        <x:v>Rates exclude optional add-ons and implementation fees.</x:v>
      </x:c>
    </x:row>
    <x:row r="32" ht="15.75" customHeight="1">
      <x:c r="A32" s="34"/>
      <x:c r="B32" s="34"/>
      <x:c r="C32" s="34"/>
      <x:c r="D32" s="34"/>
      <x:c r="E32" s="34"/>
      <x:c r="F32" s="34"/>
    </x:row>
    <x:row r="33" ht="15.75" customHeight="1">
      <x:c r="A33" s="34"/>
      <x:c r="B33" s="34"/>
      <x:c r="C33" s="34"/>
      <x:c r="D33" s="34"/>
      <x:c r="E33" s="34"/>
      <x:c r="F33" s="34"/>
    </x:row>
    <x:row r="34" ht="15.75" customHeight="1">
      <x:c r="A34" s="34"/>
      <x:c r="B34" s="34"/>
      <x:c r="C34" s="34"/>
      <x:c r="D34" s="34"/>
      <x:c r="E34" s="34"/>
      <x:c r="F34" s="34"/>
    </x:row>
    <x:row r="35" ht="15.75" customHeight="1">
      <x:c r="A35" s="34"/>
      <x:c r="B35" s="34"/>
      <x:c r="C35" s="34"/>
      <x:c r="D35" s="34"/>
      <x:c r="E35" s="34"/>
      <x:c r="F35" s="34"/>
    </x:row>
    <x:row r="36" ht="15.75" customHeight="1">
      <x:c r="A36" s="34"/>
      <x:c r="B36" s="34"/>
      <x:c r="C36" s="34"/>
      <x:c r="D36" s="34"/>
      <x:c r="E36" s="34"/>
      <x:c r="F36" s="34"/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x:mergeCells>
    <x:mergeCell ref="A1:F1"/>
    <x:mergeCell ref="A2:F2"/>
    <x:mergeCell ref="A5:F5"/>
    <x:mergeCell ref="A11:F11"/>
    <x:mergeCell ref="A16:F16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15.710000038146973" customWidth="1"/>
    <x:col min="2" max="2" width="46.13999938964844" customWidth="1"/>
    <x:col min="3" max="3" width="64.13999938964844" customWidth="1"/>
    <x:col min="4" max="4" width="79" customWidth="1"/>
    <x:col min="5" max="5" width="158.42999267578125" customWidth="1"/>
  </x:cols>
  <x:sheetData>
    <x:row r="1">
      <x:c r="A1" s="9" t="s">
        <x:v>35</x:v>
      </x:c>
      <x:c r="B1" s="9" t="s">
        <x:v>36</x:v>
      </x:c>
      <x:c r="C1" s="9"/>
      <x:c r="D1" s="9"/>
      <x:c r="E1" s="8"/>
    </x:row>
    <x:row r="2">
      <x:c r="A2" s="35" t="s">
        <x:v>37</x:v>
      </x:c>
      <x:c r="B2" s="16">
        <x:v>12500.0</x:v>
      </x:c>
      <x:c r="C2" s="16"/>
      <x:c r="D2" s="15"/>
      <x:c r="E2" s="14"/>
    </x:row>
    <x:row r="3">
      <x:c r="A3" s="35" t="s">
        <x:v>38</x:v>
      </x:c>
      <x:c r="B3" s="18" t="n">
        <x:f>(B2)*0.9</x:f>
        <x:v>11250</x:v>
      </x:c>
      <x:c r="C3" s="18"/>
      <x:c r="D3" s="18"/>
      <x:c r="E3" s="19"/>
    </x:row>
    <x:row r="4">
      <x:c r="A4" s="35" t="s">
        <x:v>39</x:v>
      </x:c>
      <x:c r="B4" s="18" t="n">
        <x:f>(B3)*0.8</x:f>
        <x:v>9000</x:v>
      </x:c>
      <x:c r="C4" s="18"/>
      <x:c r="D4" s="18"/>
      <x:c r="E4" s="19"/>
    </x:row>
    <x:row r="5">
      <x:c r="A5" s="35" t="s">
        <x:v>40</x:v>
      </x:c>
      <x:c r="B5" s="18" t="n">
        <x:f>(B4)*0.75</x:f>
        <x:v>6750</x:v>
      </x:c>
      <x:c r="C5" s="18"/>
      <x:c r="D5" s="18"/>
      <x:c r="E5" s="19"/>
    </x:row>
    <x:row r="6">
      <x:c r="A6" s="35" t="s">
        <x:v>41</x:v>
      </x:c>
      <x:c r="B6" s="18" t="n">
        <x:f>(B5)*0.8</x:f>
        <x:v>5400</x:v>
      </x:c>
    </x:row>
    <x:row r="7">
      <x:c r="B7" s="18"/>
    </x:row>
    <x:row r="11">
      <x:c r="A11" s="36" t="s">
        <x:v>42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096C7"/>
  </x:sheetPr>
  <x:sheetViews>
    <x:sheetView showGridLines="0" workbookViewId="0"/>
  </x:sheetViews>
  <x:sheetFormatPr defaultColWidth="14.430000305175781" defaultRowHeight="15"/>
  <x:cols>
    <x:col min="1" max="1" width="31.709999084472656" customWidth="1"/>
    <x:col min="2" max="2" width="43.709999084472656" customWidth="1"/>
    <x:col min="3" max="3" width="47.13999938964844" customWidth="1"/>
    <x:col min="4" max="4" width="49.56999969482422" customWidth="1"/>
    <x:col min="5" max="5" width="91.13999938964844" customWidth="1"/>
    <x:col min="6" max="26" width="8.710000038146973" customWidth="1"/>
  </x:cols>
  <x:sheetData>
    <x:row r="1">
      <x:c r="A1" s="37" t="s">
        <x:v>43</x:v>
      </x:c>
      <x:c r="B1" s="2"/>
      <x:c r="C1" s="2"/>
      <x:c r="D1" s="2"/>
      <x:c r="E1" s="3"/>
      <x:c r="F1" s="38"/>
    </x:row>
    <x:row r="2" ht="61.5" customHeight="1">
      <x:c r="A2" s="4" t="str">
        <x:v>Models 1 &amp; 3 can reach first pilot clinic go-live in ~3-4 weeks under a fast-track path: pilot authorization via LOA/SOW, MediCard hosting ready in Week 1, no custom development before pilot, and initial pilot scope limited to 1-3 clinics. Model 2 remains longer due to MYCURE-hosted security checks, VAPT, TPSA/vendor risk review, DPA/SLA, and cloud onboarding, but can be contained with parallel review workstreams.</x:v>
      </x:c>
      <x:c r="B2" s="5"/>
      <x:c r="C2" s="5"/>
      <x:c r="D2" s="5"/>
      <x:c r="E2" s="6"/>
      <x:c r="F2" s="34"/>
    </x:row>
    <x:row r="3">
      <x:c r="A3" s="7"/>
      <x:c r="B3" s="7"/>
      <x:c r="C3" s="7"/>
      <x:c r="D3" s="7"/>
      <x:c r="E3" s="7"/>
      <x:c r="F3" s="34"/>
    </x:row>
    <x:row r="4" ht="67.5" customHeight="1">
      <x:c r="A4" s="8" t="s">
        <x:v>44</x:v>
      </x:c>
      <x:c r="B4" s="8" t="s">
        <x:v>45</x:v>
      </x:c>
      <x:c r="C4" s="9" t="str">
        <x:v>Model 2
Corporate Service Plan
MYCURE Hosting</x:v>
      </x:c>
      <x:c r="D4" s="9" t="str">
        <x:v>Model 3
Corporate Service Plan
MediCard Hosting</x:v>
      </x:c>
      <x:c r="E4" s="8" t="s">
        <x:v>46</x:v>
      </x:c>
      <x:c r="F4" s="34"/>
    </x:row>
    <x:row r="5" ht="24" customHeight="1">
      <x:c r="A5" s="10" t="s">
        <x:v>47</x:v>
      </x:c>
      <x:c r="B5" s="11"/>
      <x:c r="C5" s="11"/>
      <x:c r="D5" s="11"/>
      <x:c r="E5" s="12"/>
      <x:c r="F5" s="34"/>
    </x:row>
    <x:row r="6" ht="64.5" customHeight="1">
      <x:c r="A6" s="14" t="s">
        <x:v>48</x:v>
      </x:c>
      <x:c r="B6" s="39" t="s">
        <x:v>49</x:v>
      </x:c>
      <x:c r="C6" s="39" t="str">
        <x:v>4-6 weeks</x:v>
      </x:c>
      <x:c r="D6" s="40" t="str">
        <x:v>3-5 business days</x:v>
      </x:c>
      <x:c r="E6" s="14" t="s">
        <x:v>50</x:v>
      </x:c>
      <x:c r="F6" s="34"/>
    </x:row>
    <x:row r="7" ht="64.5" customHeight="1">
      <x:c r="A7" s="14" t="s">
        <x:v>51</x:v>
      </x:c>
      <x:c r="B7" s="39" t="s">
        <x:v>52</x:v>
      </x:c>
      <x:c r="C7" s="39" t="str">
        <x:v>4-6 weeks
(security-gated)</x:v>
      </x:c>
      <x:c r="D7" s="41" t="str">
        <x:v>Deployment checklist only
(app ready; MediCard hosts)</x:v>
      </x:c>
      <x:c r="E7" s="14" t="s">
        <x:v>53</x:v>
      </x:c>
      <x:c r="F7" s="34"/>
    </x:row>
    <x:row r="8" ht="49.5" customHeight="1">
      <x:c r="A8" s="10" t="s">
        <x:v>54</x:v>
      </x:c>
      <x:c r="B8" s="11"/>
      <x:c r="C8" s="11"/>
      <x:c r="D8" s="11"/>
      <x:c r="E8" s="12"/>
      <x:c r="F8" s="34"/>
    </x:row>
    <x:row r="9" ht="66" customHeight="1">
      <x:c r="A9" s="14" t="s">
        <x:v>55</x:v>
      </x:c>
      <x:c r="B9" s="39" t="s">
        <x:v>56</x:v>
      </x:c>
      <x:c r="C9" s="39" t="str">
        <x:v>1-2 weeks
(MYCURE provisions)</x:v>
      </x:c>
      <x:c r="D9" s="40" t="str">
        <x:v>3-5 business days
(MediCard ready by Week 1)</x:v>
      </x:c>
      <x:c r="E9" s="14" t="s">
        <x:v>57</x:v>
      </x:c>
      <x:c r="F9" s="34"/>
    </x:row>
    <x:row r="10" ht="49.5" customHeight="1">
      <x:c r="A10" s="14" t="s">
        <x:v>58</x:v>
      </x:c>
      <x:c r="B10" s="39" t="s">
        <x:v>59</x:v>
      </x:c>
      <x:c r="C10" s="39" t="str">
        <x:v>1-2 weeks
(parallel)</x:v>
      </x:c>
      <x:c r="D10" s="40" t="str">
        <x:v>3-5 business days
(parallel)</x:v>
      </x:c>
      <x:c r="E10" s="14" t="s">
        <x:v>60</x:v>
      </x:c>
      <x:c r="F10" s="34"/>
    </x:row>
    <x:row r="11" ht="49.5" customHeight="1">
      <x:c r="A11" s="10" t="s">
        <x:v>61</x:v>
      </x:c>
      <x:c r="B11" s="11"/>
      <x:c r="C11" s="11"/>
      <x:c r="D11" s="11"/>
      <x:c r="E11" s="12"/>
      <x:c r="F11" s="34"/>
    </x:row>
    <x:row r="12" ht="49.5" customHeight="1">
      <x:c r="A12" s="14" t="s">
        <x:v>62</x:v>
      </x:c>
      <x:c r="B12" s="39" t="s">
        <x:v>49</x:v>
      </x:c>
      <x:c r="C12" s="39" t="str">
        <x:v>1-2 weeks</x:v>
      </x:c>
      <x:c r="D12" s="40" t="str">
        <x:v>3-5 business days</x:v>
      </x:c>
      <x:c r="E12" s="14" t="s">
        <x:v>63</x:v>
      </x:c>
      <x:c r="F12" s="34"/>
    </x:row>
    <x:row r="13" ht="49.5" customHeight="1">
      <x:c r="A13" s="14" t="s">
        <x:v>64</x:v>
      </x:c>
      <x:c r="B13" s="39" t="s">
        <x:v>65</x:v>
      </x:c>
      <x:c r="C13" s="39" t="str">
        <x:v>Week 10-14</x:v>
      </x:c>
      <x:c r="D13" s="40" t="str">
        <x:v>Week 3-4</x:v>
      </x:c>
      <x:c r="E13" s="14" t="s">
        <x:v>66</x:v>
      </x:c>
      <x:c r="F13" s="34"/>
    </x:row>
    <x:row r="14" ht="49.5" customHeight="1">
      <x:c r="A14" s="10" t="s">
        <x:v>67</x:v>
      </x:c>
      <x:c r="B14" s="11"/>
      <x:c r="C14" s="11"/>
      <x:c r="D14" s="11"/>
      <x:c r="E14" s="12"/>
      <x:c r="F14" s="34"/>
    </x:row>
    <x:row r="15" ht="49.5" customHeight="1">
      <x:c r="A15" s="14" t="s">
        <x:v>68</x:v>
      </x:c>
      <x:c r="B15" s="39" t="s">
        <x:v>69</x:v>
      </x:c>
      <x:c r="C15" s="39" t="str">
        <x:v>2-3 weeks
per wave</x:v>
      </x:c>
      <x:c r="D15" s="40" t="str">
        <x:v>2-3 weeks
per wave</x:v>
      </x:c>
      <x:c r="E15" s="14" t="s">
        <x:v>70</x:v>
      </x:c>
      <x:c r="F15" s="34"/>
    </x:row>
    <x:row r="16" ht="49.5" customHeight="1">
      <x:c r="A16" s="10" t="s">
        <x:v>71</x:v>
      </x:c>
      <x:c r="B16" s="11"/>
      <x:c r="C16" s="11"/>
      <x:c r="D16" s="11"/>
      <x:c r="E16" s="12"/>
      <x:c r="F16" s="34"/>
    </x:row>
    <x:row r="17" ht="64.5" customHeight="1">
      <x:c r="A17" s="42" t="s">
        <x:v>72</x:v>
      </x:c>
      <x:c r="B17" s="43" t="s">
        <x:v>73</x:v>
      </x:c>
      <x:c r="C17" s="43" t="str">
        <x:v>~10-14 weeks</x:v>
      </x:c>
      <x:c r="D17" s="44" t="str">
        <x:v>~3-4 weeks
(fast-track)</x:v>
      </x:c>
      <x:c r="E17" s="45" t="s">
        <x:v>74</x:v>
      </x:c>
      <x:c r="F17" s="34"/>
    </x:row>
    <x:row r="18" ht="64.5" customHeight="1">
      <x:c r="A18" s="42" t="s">
        <x:v>75</x:v>
      </x:c>
      <x:c r="B18" s="46" t="s">
        <x:v>76</x:v>
      </x:c>
      <x:c r="C18" s="46" t="str">
        <x:v>~8-12 months</x:v>
      </x:c>
      <x:c r="D18" s="44" t="str">
        <x:v>~5-9 months</x:v>
      </x:c>
      <x:c r="E18" s="45" t="s">
        <x:v>77</x:v>
      </x:c>
      <x:c r="F18" s="34"/>
    </x:row>
    <x:row r="19">
      <x:c r="A19" s="34"/>
      <x:c r="B19" s="34"/>
      <x:c r="C19" s="34"/>
      <x:c r="D19" s="34"/>
      <x:c r="E19" s="34"/>
      <x:c r="F19" s="34"/>
    </x:row>
    <x:row r="20">
      <x:c r="A20" s="34"/>
      <x:c r="B20" s="34"/>
      <x:c r="C20" s="34"/>
      <x:c r="D20" s="34"/>
      <x:c r="E20" s="34"/>
      <x:c r="F20" s="34"/>
    </x:row>
    <x:row r="21" ht="15.75" customHeight="1">
      <x:c r="A21" s="34"/>
      <x:c r="B21" s="34"/>
      <x:c r="C21" s="34"/>
      <x:c r="D21" s="34"/>
      <x:c r="E21" s="34"/>
      <x:c r="F21" s="34"/>
    </x:row>
    <x:row r="22" ht="15.75" customHeight="1">
      <x:c r="A22" s="34"/>
      <x:c r="B22" s="34"/>
      <x:c r="C22" s="34"/>
      <x:c r="D22" s="34"/>
      <x:c r="E22" s="34"/>
      <x:c r="F22" s="34"/>
    </x:row>
    <x:row r="23" ht="15.75" customHeight="1">
      <x:c r="A23" s="34"/>
      <x:c r="B23" s="34"/>
      <x:c r="C23" s="34"/>
      <x:c r="D23" s="34"/>
      <x:c r="E23" s="34"/>
      <x:c r="F23" s="34"/>
    </x:row>
    <x:row r="24" ht="15.75" customHeight="1">
      <x:c r="A24" s="34"/>
      <x:c r="B24" s="34"/>
      <x:c r="C24" s="34"/>
      <x:c r="D24" s="34"/>
      <x:c r="E24" s="34"/>
      <x:c r="F24" s="34"/>
    </x:row>
    <x:row r="25" ht="15.75" customHeight="1">
      <x:c r="A25" s="34"/>
      <x:c r="B25" s="34"/>
      <x:c r="C25" s="34"/>
      <x:c r="D25" s="34"/>
      <x:c r="E25" s="34"/>
      <x:c r="F25" s="34"/>
    </x:row>
    <x:row r="26" ht="15.75" customHeight="1">
      <x:c r="A26" s="34"/>
      <x:c r="B26" s="34"/>
      <x:c r="C26" s="34"/>
      <x:c r="D26" s="34"/>
      <x:c r="E26" s="34"/>
      <x:c r="F26" s="34"/>
    </x:row>
    <x:row r="27" ht="15.75" customHeight="1">
      <x:c r="A27" s="34"/>
      <x:c r="B27" s="34"/>
      <x:c r="C27" s="34"/>
      <x:c r="D27" s="34"/>
      <x:c r="E27" s="34"/>
      <x:c r="F27" s="34"/>
    </x:row>
    <x:row r="28" ht="15.75" customHeight="1">
      <x:c r="A28" s="34"/>
      <x:c r="B28" s="34"/>
      <x:c r="C28" s="34"/>
      <x:c r="D28" s="34"/>
      <x:c r="E28" s="34"/>
      <x:c r="F28" s="34"/>
    </x:row>
    <x:row r="29" ht="15.75" customHeight="1">
      <x:c r="A29" s="34"/>
      <x:c r="B29" s="34"/>
      <x:c r="C29" s="34"/>
      <x:c r="D29" s="34"/>
      <x:c r="E29" s="34"/>
      <x:c r="F29" s="34"/>
    </x:row>
    <x:row r="30" ht="15.75" customHeight="1">
      <x:c r="A30" s="34"/>
      <x:c r="B30" s="34"/>
      <x:c r="C30" s="34"/>
      <x:c r="D30" s="34"/>
      <x:c r="E30" s="34"/>
      <x:c r="F30" s="34"/>
    </x:row>
    <x:row r="31" ht="15.75" customHeight="1">
      <x:c r="A31" s="34"/>
      <x:c r="B31" s="34"/>
      <x:c r="C31" s="34"/>
      <x:c r="D31" s="34"/>
      <x:c r="E31" s="34"/>
      <x:c r="F31" s="34"/>
    </x:row>
    <x:row r="32" ht="15.75" customHeight="1">
      <x:c r="A32" s="34"/>
      <x:c r="B32" s="34"/>
      <x:c r="C32" s="34"/>
      <x:c r="D32" s="34"/>
      <x:c r="E32" s="34"/>
      <x:c r="F32" s="34"/>
    </x:row>
    <x:row r="33" ht="15.75" customHeight="1">
      <x:c r="A33" s="34"/>
      <x:c r="B33" s="34"/>
      <x:c r="C33" s="34"/>
      <x:c r="D33" s="34"/>
      <x:c r="E33" s="34"/>
      <x:c r="F33" s="34"/>
    </x:row>
    <x:row r="34" ht="15.75" customHeight="1">
      <x:c r="A34" s="34"/>
      <x:c r="B34" s="34"/>
      <x:c r="C34" s="34"/>
      <x:c r="D34" s="34"/>
      <x:c r="E34" s="34"/>
      <x:c r="F34" s="34"/>
    </x:row>
    <x:row r="35" ht="15.75" customHeight="1">
      <x:c r="A35" s="34"/>
      <x:c r="B35" s="34"/>
      <x:c r="C35" s="34"/>
      <x:c r="D35" s="34"/>
      <x:c r="E35" s="34"/>
      <x:c r="F35" s="34"/>
    </x:row>
    <x:row r="36" ht="15.75" customHeight="1">
      <x:c r="A36" s="34"/>
      <x:c r="B36" s="34"/>
      <x:c r="C36" s="34"/>
      <x:c r="D36" s="34"/>
      <x:c r="E36" s="34"/>
      <x:c r="F36" s="34"/>
    </x:row>
    <x:row r="37" ht="15.75" customHeight="1">
      <x:c r="A37" s="34"/>
      <x:c r="B37" s="34"/>
      <x:c r="C37" s="34"/>
      <x:c r="D37" s="34"/>
      <x:c r="E37" s="34"/>
      <x:c r="F37" s="34"/>
    </x:row>
    <x:row r="38" ht="15.75" customHeight="1">
      <x:c r="A38" s="34"/>
      <x:c r="B38" s="34"/>
      <x:c r="C38" s="34"/>
      <x:c r="D38" s="34"/>
      <x:c r="E38" s="34"/>
      <x:c r="F38" s="34"/>
    </x:row>
    <x:row r="39" ht="15.75" customHeight="1">
      <x:c r="A39" s="34"/>
      <x:c r="B39" s="34"/>
      <x:c r="C39" s="34"/>
      <x:c r="D39" s="34"/>
      <x:c r="E39" s="34"/>
      <x:c r="F39" s="34"/>
    </x:row>
    <x:row r="40" ht="15.75" customHeight="1">
      <x:c r="A40" s="34"/>
      <x:c r="B40" s="34"/>
      <x:c r="C40" s="34"/>
      <x:c r="D40" s="34"/>
      <x:c r="E40" s="34"/>
      <x:c r="F40" s="34"/>
    </x:row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2"/>
    <x:mergeCell ref="A5:E5"/>
    <x:mergeCell ref="A8:E8"/>
    <x:mergeCell ref="A11:E11"/>
    <x:mergeCell ref="A14:E14"/>
    <x:mergeCell ref="A16:E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8CAE4"/>
  </x:sheetPr>
  <x:sheetViews>
    <x:sheetView showGridLines="0" workbookViewId="0"/>
  </x:sheetViews>
  <x:sheetFormatPr defaultColWidth="14.430000305175781" defaultRowHeight="15"/>
  <x:cols>
    <x:col min="1" max="1" width="30" customWidth="1"/>
    <x:col min="2" max="2" width="45.290000915527344" customWidth="1"/>
    <x:col min="3" max="3" width="46" customWidth="1"/>
    <x:col min="4" max="4" width="52.290000915527344" customWidth="1"/>
    <x:col min="5" max="5" width="65.86000061035156" customWidth="1"/>
    <x:col min="6" max="26" width="8.710000038146973" customWidth="1"/>
  </x:cols>
  <x:sheetData>
    <x:row r="1">
      <x:c r="A1" s="37" t="s">
        <x:v>78</x:v>
      </x:c>
      <x:c r="B1" s="2"/>
      <x:c r="C1" s="2"/>
      <x:c r="D1" s="2"/>
      <x:c r="E1" s="3"/>
      <x:c r="F1" s="38"/>
    </x:row>
    <x:row r="2">
      <x:c r="A2" s="4" t="str">
        <x:v>Indicative figures using large-rollout bulk rates. Excludes add-on packs, implementation, and hosting infra costs for Models 1 &amp; 3.</x:v>
      </x:c>
      <x:c r="B2" s="5"/>
      <x:c r="C2" s="5"/>
      <x:c r="D2" s="5"/>
      <x:c r="E2" s="6" t="str">
        <x:v>Main comparison uses the 100-149 clinic band to show expected enterprise rollout economics.</x:v>
      </x:c>
      <x:c r="F2" s="34"/>
    </x:row>
    <x:row r="3">
      <x:c r="A3" s="7"/>
      <x:c r="B3" s="7"/>
      <x:c r="C3" s="7"/>
      <x:c r="D3" s="7"/>
      <x:c r="E3" s="7"/>
      <x:c r="F3" s="34"/>
    </x:row>
    <x:row r="4" ht="67.5" customHeight="1">
      <x:c r="A4" s="8" t="s">
        <x:v>79</x:v>
      </x:c>
      <x:c r="B4" s="8" t="s">
        <x:v>45</x:v>
      </x:c>
      <x:c r="C4" s="9" t="str">
        <x:v>Model 2
Corporate Service Plan
MYCURE Hosting</x:v>
      </x:c>
      <x:c r="D4" s="9" t="str">
        <x:v>Model 3
Corporate Service Plan
MediCard Hosting</x:v>
      </x:c>
      <x:c r="E4" s="8" t="s">
        <x:v>80</x:v>
      </x:c>
      <x:c r="F4" s="34"/>
    </x:row>
    <x:row r="5" ht="36" customHeight="1">
      <x:c r="A5" s="10" t="s">
        <x:v>81</x:v>
      </x:c>
      <x:c r="B5" s="11"/>
      <x:c r="C5" s="11"/>
      <x:c r="D5" s="11"/>
      <x:c r="E5" s="12"/>
      <x:c r="F5" s="34"/>
    </x:row>
    <x:row r="6" ht="36" customHeight="1">
      <x:c r="A6" s="14" t="s">
        <x:v>82</x:v>
      </x:c>
      <x:c r="B6" s="24">
        <x:v>280000.0</x:v>
      </x:c>
      <x:c r="C6" s="47" t="s">
        <x:v>83</x:v>
      </x:c>
      <x:c r="D6" s="47" t="s">
        <x:v>83</x:v>
      </x:c>
      <x:c r="E6" s="14" t="s">
        <x:v>84</x:v>
      </x:c>
      <x:c r="F6" s="34"/>
    </x:row>
    <x:row r="7" ht="36" customHeight="1">
      <x:c r="A7" s="14" t="s">
        <x:v>85</x:v>
      </x:c>
      <x:c r="B7" s="47" t="s">
        <x:v>83</x:v>
      </x:c>
      <x:c r="C7" s="24" t="n">
        <x:v>13500</x:v>
      </x:c>
      <x:c r="D7" s="24" t="n">
        <x:v>6750</x:v>
      </x:c>
      <x:c r="E7" s="14" t="str">
        <x:v>Model 2 shown at 100-149 clinic bulk rate of ₱13,500. Model 3 shown at 100-149 clinic bulk rate of ₱6,750.</x:v>
      </x:c>
      <x:c r="F7" s="34"/>
    </x:row>
    <x:row r="8" ht="36" customHeight="1">
      <x:c r="A8" s="10" t="s">
        <x:v>86</x:v>
      </x:c>
      <x:c r="B8" s="11"/>
      <x:c r="C8" s="11"/>
      <x:c r="D8" s="11"/>
      <x:c r="E8" s="12"/>
      <x:c r="F8" s="34"/>
    </x:row>
    <x:row r="9" ht="36" customHeight="1">
      <x:c r="A9" s="14" t="s">
        <x:v>87</x:v>
      </x:c>
      <x:c r="B9" s="48">
        <x:v>336000.0</x:v>
      </x:c>
      <x:c r="C9" s="27" t="n">
        <x:v>162000</x:v>
      </x:c>
      <x:c r="D9" s="27" t="n">
        <x:v>81000</x:v>
      </x:c>
      <x:c r="F9" s="34"/>
    </x:row>
    <x:row r="10" ht="36" customHeight="1">
      <x:c r="A10" s="14" t="s">
        <x:v>88</x:v>
      </x:c>
      <x:c r="B10" s="27">
        <x:v>56000.0</x:v>
      </x:c>
      <x:c r="C10" s="27" t="n">
        <x:v>162000</x:v>
      </x:c>
      <x:c r="D10" s="27" t="n">
        <x:v>81000</x:v>
      </x:c>
      <x:c r="E10" s="14" t="str">
        <x:v>M1: AMS only. M2/M3: 12 months service plan. M3 excludes MediCard hosting infra cost.</x:v>
      </x:c>
      <x:c r="F10" s="34"/>
    </x:row>
    <x:row r="11" ht="36" customHeight="1">
      <x:c r="A11" s="14" t="s">
        <x:v>89</x:v>
      </x:c>
      <x:c r="B11" s="27">
        <x:v>56000.0</x:v>
      </x:c>
      <x:c r="C11" s="27" t="n">
        <x:v>162000</x:v>
      </x:c>
      <x:c r="D11" s="27" t="n">
        <x:v>81000</x:v>
      </x:c>
      <x:c r="E11" s="14"/>
      <x:c r="F11" s="34"/>
    </x:row>
    <x:row r="12" ht="36" customHeight="1">
      <x:c r="A12" s="14" t="s">
        <x:v>90</x:v>
      </x:c>
      <x:c r="B12" s="27">
        <x:v>56000.0</x:v>
      </x:c>
      <x:c r="C12" s="27" t="n">
        <x:v>162000</x:v>
      </x:c>
      <x:c r="D12" s="27" t="n">
        <x:v>81000</x:v>
      </x:c>
      <x:c r="E12" s="14"/>
      <x:c r="F12" s="34"/>
    </x:row>
    <x:row r="13" ht="36" customHeight="1">
      <x:c r="A13" s="14" t="s">
        <x:v>91</x:v>
      </x:c>
      <x:c r="B13" s="27">
        <x:v>56000.0</x:v>
      </x:c>
      <x:c r="C13" s="27" t="n">
        <x:v>162000</x:v>
      </x:c>
      <x:c r="D13" s="27" t="n">
        <x:v>81000</x:v>
      </x:c>
      <x:c r="E13" s="14"/>
      <x:c r="F13" s="34"/>
    </x:row>
    <x:row r="14" ht="36" customHeight="1">
      <x:c r="A14" s="42" t="s">
        <x:v>92</x:v>
      </x:c>
      <x:c r="B14" s="49" t="s">
        <x:v>93</x:v>
      </x:c>
      <x:c r="C14" s="49" t="str">
        <x:v>₱810,000</x:v>
      </x:c>
      <x:c r="D14" s="49" t="str">
        <x:v>₱405,000</x:v>
      </x:c>
      <x:c r="E14" s="50"/>
      <x:c r="F14" s="34"/>
    </x:row>
    <x:row r="15" ht="36" customHeight="1">
      <x:c r="A15" s="42" t="s">
        <x:v>94</x:v>
      </x:c>
      <x:c r="B15" s="49" t="s">
        <x:v>95</x:v>
      </x:c>
      <x:c r="C15" s="49" t="str">
        <x:v>₱13,500</x:v>
      </x:c>
      <x:c r="D15" s="49" t="str">
        <x:v>₱6,750</x:v>
      </x:c>
      <x:c r="E15" s="42" t="str">
        <x:v>Amortized monthly for comparison only. Does not include hosting infra for M1/M3.</x:v>
      </x:c>
      <x:c r="F15" s="34"/>
    </x:row>
    <x:row r="16" ht="36" customHeight="1">
      <x:c r="A16" s="7"/>
      <x:c r="B16" s="18"/>
      <x:c r="C16" s="18"/>
      <x:c r="D16" s="18"/>
      <x:c r="E16" s="7"/>
      <x:c r="F16" s="34"/>
    </x:row>
    <x:row r="17" ht="15.75" customHeight="1">
      <x:c r="A17" s="34"/>
      <x:c r="B17" s="34"/>
      <x:c r="C17" s="34"/>
      <x:c r="D17" s="34"/>
      <x:c r="E17" s="34"/>
      <x:c r="F17" s="34"/>
    </x:row>
    <x:row r="18" ht="25.5" customHeight="1">
      <x:c r="A18" s="61" t="str">
        <x:v>Bulk Pricing Reference</x:v>
      </x:c>
      <x:c r="B18" s="61"/>
      <x:c r="C18" s="61"/>
      <x:c r="D18" s="61"/>
      <x:c r="E18" s="61"/>
      <x:c r="F18" s="34"/>
    </x:row>
    <x:row r="19" ht="25.5" customHeight="1">
      <x:c r="A19" s="64" t="str">
        <x:v>Bulk</x:v>
      </x:c>
      <x:c r="B19" s="64" t="str">
        <x:v>Model 2
MYCURE Hosting</x:v>
      </x:c>
      <x:c r="C19" s="64" t="str">
        <x:v>Model 3
MediCard Hosting</x:v>
      </x:c>
      <x:c r="D19" s="64" t="str">
        <x:v>Model 2 Offer Logic</x:v>
      </x:c>
      <x:c r="E19" s="64" t="str">
        <x:v>Model 3 Offer Logic</x:v>
      </x:c>
      <x:c r="F19" s="34"/>
    </x:row>
    <x:row r="20" ht="25.5" customHeight="1">
      <x:c r="A20" s="58" t="str">
        <x:v>1 clinic</x:v>
      </x:c>
      <x:c r="B20" s="58" t="str">
        <x:v>₱18,000</x:v>
      </x:c>
      <x:c r="C20" s="65" t="str">
        <x:v>₱12,500</x:v>
      </x:c>
      <x:c r="D20" s="65" t="str">
        <x:v>Anchor price</x:v>
      </x:c>
      <x:c r="E20" s="65" t="str">
        <x:v>Entry rate</x:v>
      </x:c>
      <x:c r="F20" s="34"/>
    </x:row>
    <x:row r="21" ht="25.5" customHeight="1">
      <x:c r="A21" s="58" t="str">
        <x:v>10-49 clinics</x:v>
      </x:c>
      <x:c r="B21" s="58" t="str">
        <x:v>₱16,200</x:v>
      </x:c>
      <x:c r="C21" s="65" t="str">
        <x:v>₱11,250</x:v>
      </x:c>
      <x:c r="D21" s="65" t="str">
        <x:v>10% volume discount</x:v>
      </x:c>
      <x:c r="E21" s="65" t="str">
        <x:v>10% volume discount</x:v>
      </x:c>
      <x:c r="F21" s="34"/>
    </x:row>
    <x:row r="22" ht="25.5" customHeight="1">
      <x:c r="A22" s="58" t="str">
        <x:v>50-99 clinics</x:v>
      </x:c>
      <x:c r="B22" s="58" t="str">
        <x:v>₱14,400</x:v>
      </x:c>
      <x:c r="C22" s="65" t="str">
        <x:v>₱9,000</x:v>
      </x:c>
      <x:c r="D22" s="65" t="str">
        <x:v>20% volume discount</x:v>
      </x:c>
      <x:c r="E22" s="65" t="str">
        <x:v>Scale rollout rate</x:v>
      </x:c>
      <x:c r="F22" s="34"/>
    </x:row>
    <x:row r="23" ht="25.5" customHeight="1">
      <x:c r="A23" s="58" t="str">
        <x:v>100-149 clinics</x:v>
      </x:c>
      <x:c r="B23" s="58" t="str">
        <x:v>₱13,500</x:v>
      </x:c>
      <x:c r="C23" s="65" t="str">
        <x:v>₱6,750</x:v>
      </x:c>
      <x:c r="D23" s="65" t="str">
        <x:v>25% volume discount</x:v>
      </x:c>
      <x:c r="E23" s="65" t="str">
        <x:v>Preferred enterprise rate</x:v>
      </x:c>
      <x:c r="F23" s="34"/>
    </x:row>
    <x:row r="24" ht="25.5" customHeight="1">
      <x:c r="A24" s="58" t="str">
        <x:v>150+ clinics</x:v>
      </x:c>
      <x:c r="B24" s="58" t="str">
        <x:v>₱12,600</x:v>
      </x:c>
      <x:c r="C24" s="58" t="str">
        <x:v>₱5,400</x:v>
      </x:c>
      <x:c r="D24" s="58" t="str">
        <x:v>30% strategic rollout discount</x:v>
      </x:c>
      <x:c r="E24" s="58" t="str">
        <x:v>Strategic full-network rate</x:v>
      </x:c>
      <x:c r="F24" s="34"/>
    </x:row>
    <x:row r="25" ht="25.5" customHeight="1">
      <x:c r="A25" s="58" t="str">
        <x:v>Note</x:v>
      </x:c>
      <x:c r="B25" s="58"/>
      <x:c r="C25" s="58"/>
      <x:c r="D25" s="58" t="str">
        <x:v>Add-ons priced separately.</x:v>
      </x:c>
      <x:c r="E25" s="58" t="str">
        <x:v>Add-ons priced separately.</x:v>
      </x:c>
      <x:c r="F25" s="34"/>
    </x:row>
    <x:row r="26" ht="15.75" customHeight="1">
      <x:c r="A26" s="34"/>
      <x:c r="B26" s="34"/>
      <x:c r="C26" s="34"/>
      <x:c r="D26" s="34"/>
      <x:c r="E26" s="34"/>
      <x:c r="F26" s="34"/>
    </x:row>
    <x:row r="27" ht="15.75" customHeight="1">
      <x:c r="A27" s="34"/>
      <x:c r="B27" s="34"/>
      <x:c r="C27" s="34"/>
      <x:c r="D27" s="34"/>
      <x:c r="E27" s="34"/>
      <x:c r="F27" s="34"/>
    </x:row>
    <x:row r="28" ht="15.75" customHeight="1">
      <x:c r="A28" s="34"/>
      <x:c r="B28" s="34"/>
      <x:c r="C28" s="34"/>
      <x:c r="D28" s="34"/>
      <x:c r="E28" s="34"/>
      <x:c r="F28" s="34"/>
    </x:row>
    <x:row r="29" ht="15.75" customHeight="1">
      <x:c r="A29" s="34"/>
      <x:c r="B29" s="34"/>
      <x:c r="C29" s="34"/>
      <x:c r="D29" s="34"/>
      <x:c r="E29" s="34"/>
      <x:c r="F29" s="34"/>
    </x:row>
    <x:row r="30" ht="15.75" customHeight="1">
      <x:c r="A30" s="34"/>
      <x:c r="B30" s="34"/>
      <x:c r="C30" s="34"/>
      <x:c r="D30" s="34"/>
      <x:c r="E30" s="34"/>
      <x:c r="F30" s="34"/>
    </x:row>
    <x:row r="31" ht="15.75" customHeight="1">
      <x:c r="A31" s="34"/>
      <x:c r="B31" s="34"/>
      <x:c r="C31" s="34"/>
      <x:c r="D31" s="34"/>
      <x:c r="E31" s="34"/>
      <x:c r="F31" s="34"/>
    </x:row>
    <x:row r="32" ht="15.75" customHeight="1">
      <x:c r="A32" s="34"/>
      <x:c r="B32" s="34"/>
      <x:c r="C32" s="34"/>
      <x:c r="D32" s="34"/>
      <x:c r="E32" s="34"/>
      <x:c r="F32" s="34"/>
    </x:row>
    <x:row r="33" ht="15.75" customHeight="1">
      <x:c r="A33" s="34"/>
      <x:c r="B33" s="34"/>
      <x:c r="C33" s="34"/>
      <x:c r="D33" s="34"/>
      <x:c r="E33" s="34"/>
      <x:c r="F33" s="34"/>
    </x:row>
    <x:row r="34" ht="15.75" customHeight="1">
      <x:c r="A34" s="34"/>
      <x:c r="B34" s="34"/>
      <x:c r="C34" s="34"/>
      <x:c r="D34" s="34"/>
      <x:c r="E34" s="34"/>
      <x:c r="F34" s="34"/>
    </x:row>
    <x:row r="35" ht="15.75" customHeight="1">
      <x:c r="A35" s="34"/>
      <x:c r="B35" s="34"/>
      <x:c r="C35" s="34"/>
      <x:c r="D35" s="34"/>
      <x:c r="E35" s="34"/>
      <x:c r="F35" s="34"/>
    </x:row>
    <x:row r="36" ht="15.75" customHeight="1">
      <x:c r="A36" s="34"/>
      <x:c r="B36" s="34"/>
      <x:c r="C36" s="34"/>
      <x:c r="D36" s="34"/>
      <x:c r="E36" s="34"/>
      <x:c r="F36" s="34"/>
    </x:row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x:mergeCells>
    <x:mergeCell ref="A1:E1"/>
    <x:mergeCell ref="A2:E2"/>
    <x:mergeCell ref="A5:E5"/>
    <x:mergeCell ref="A8:E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0B4D8"/>
  </x:sheetPr>
  <x:sheetViews>
    <x:sheetView showGridLines="0" workbookViewId="0"/>
  </x:sheetViews>
  <x:sheetFormatPr defaultColWidth="14.430000305175781" defaultRowHeight="15"/>
  <x:cols>
    <x:col min="1" max="1" width="26.139999389648438" customWidth="1"/>
    <x:col min="2" max="2" width="59.13999938964844" customWidth="1"/>
    <x:col min="3" max="3" width="60.86000061035156" customWidth="1"/>
    <x:col min="4" max="4" width="62.43000030517578" customWidth="1"/>
    <x:col min="5" max="26" width="8.710000038146973" customWidth="1"/>
  </x:cols>
  <x:sheetData>
    <x:row r="1">
      <x:c r="A1" s="37" t="s">
        <x:v>96</x:v>
      </x:c>
      <x:c r="B1" s="2"/>
      <x:c r="C1" s="2"/>
      <x:c r="D1" s="3"/>
      <x:c r="E1" s="38"/>
      <x:c r="F1" s="38"/>
    </x:row>
    <x:row r="2">
      <x:c r="A2" s="51"/>
      <x:c r="B2" s="52"/>
      <x:c r="C2" s="52"/>
      <x:c r="D2" s="52"/>
      <x:c r="E2" s="34"/>
      <x:c r="F2" s="34"/>
    </x:row>
    <x:row r="3" ht="67.5" customHeight="1">
      <x:c r="A3" s="8" t="s">
        <x:v>97</x:v>
      </x:c>
      <x:c r="B3" s="8" t="s">
        <x:v>98</x:v>
      </x:c>
      <x:c r="C3" s="9" t="str">
        <x:v>Model 2
Corporate Service Plan
MYCURE Hosting</x:v>
      </x:c>
      <x:c r="D3" s="9" t="str">
        <x:v>Model 3
Corporate Service Plan
MediCard Hosting</x:v>
      </x:c>
      <x:c r="E3" s="34"/>
      <x:c r="F3" s="34"/>
    </x:row>
    <x:row r="4" ht="45" customHeight="1">
      <x:c r="A4" s="13" t="s">
        <x:v>99</x:v>
      </x:c>
      <x:c r="B4" s="18" t="s">
        <x:v>100</x:v>
      </x:c>
      <x:c r="C4" s="18" t="str">
        <x:v>Low
(implementation only,
slightly higher due to
security/migration)</x:v>
      </x:c>
      <x:c r="D4" s="18" t="str">
        <x:v>Low
(implementation only)</x:v>
      </x:c>
      <x:c r="E4" s="34"/>
      <x:c r="F4" s="34"/>
    </x:row>
    <x:row r="5" ht="45" customHeight="1">
      <x:c r="A5" s="53" t="s">
        <x:v>101</x:v>
      </x:c>
      <x:c r="B5" s="54" t="s">
        <x:v>102</x:v>
      </x:c>
      <x:c r="C5" s="54" t="str">
        <x:v>Volume-priced managed cloud fee
(₱18,000 down to ₱12,600/clinic)</x:v>
      </x:c>
      <x:c r="D5" s="54" t="str">
        <x:v>Lowest at scale
(₱12,500 down to ₱5,400/clinic)</x:v>
      </x:c>
      <x:c r="E5" s="34"/>
      <x:c r="F5" s="34"/>
    </x:row>
    <x:row r="6" ht="45" customHeight="1">
      <x:c r="A6" s="13" t="s">
        <x:v>103</x:v>
      </x:c>
      <x:c r="B6" s="18" t="s">
        <x:v>104</x:v>
      </x:c>
      <x:c r="C6" s="18" t="str">
        <x:v>Higher,
with MYCURE hosting included</x:v>
      </x:c>
      <x:c r="D6" s="18" t="str">
        <x:v>Lowest at committed scale
before MediCard hosting infra</x:v>
      </x:c>
      <x:c r="E6" s="34"/>
      <x:c r="F6" s="34"/>
    </x:row>
    <x:row r="7" ht="45" customHeight="1">
      <x:c r="A7" s="53" t="s">
        <x:v>105</x:v>
      </x:c>
      <x:c r="B7" s="54" t="s">
        <x:v>106</x:v>
      </x:c>
      <x:c r="C7" s="54" t="str">
        <x:v>MYCURE
(fully managed cloud)</x:v>
      </x:c>
      <x:c r="D7" s="54" t="str">
        <x:v>MediCard IT
(servers, backups, uptime)</x:v>
      </x:c>
      <x:c r="E7" s="34"/>
      <x:c r="F7" s="34"/>
    </x:row>
    <x:row r="8" ht="45" customHeight="1">
      <x:c r="A8" s="13" t="s">
        <x:v>107</x:v>
      </x:c>
      <x:c r="B8" s="18" t="s">
        <x:v>108</x:v>
      </x:c>
      <x:c r="C8" s="18" t="str">
        <x:v>MYCURE cloud
(PH-based, subject to
DPA and SLA)</x:v>
      </x:c>
      <x:c r="D8" s="18" t="str">
        <x:v>MediCard-controlled
(on-prem or own cloud)</x:v>
      </x:c>
      <x:c r="E8" s="34"/>
      <x:c r="F8" s="34"/>
    </x:row>
    <x:row r="9" ht="45" customHeight="1">
      <x:c r="A9" s="53" t="s">
        <x:v>109</x:v>
      </x:c>
      <x:c r="B9" s="54" t="s">
        <x:v>110</x:v>
      </x:c>
      <x:c r="C9" s="54" t="str">
        <x:v>Moderate-Extended
(VAPT, TPSA, DPA/SLA,
cloud review)</x:v>
      </x:c>
      <x:c r="D9" s="55" t="str">
        <x:v>Light
(app ready; internal path)</x:v>
      </x:c>
      <x:c r="E9" s="34"/>
      <x:c r="F9" s="34"/>
    </x:row>
    <x:row r="10" ht="45" customHeight="1">
      <x:c r="A10" s="13" t="s">
        <x:v>111</x:v>
      </x:c>
      <x:c r="B10" s="43" t="s">
        <x:v>73</x:v>
      </x:c>
      <x:c r="C10" s="43" t="str">
        <x:v>~10-14 weeks
(hosted-security path)</x:v>
      </x:c>
      <x:c r="D10" s="55" t="str">
        <x:v>~3-4 weeks
(fast-track)</x:v>
      </x:c>
      <x:c r="E10" s="34"/>
      <x:c r="F10" s="34"/>
    </x:row>
    <x:row r="11" ht="45" customHeight="1">
      <x:c r="A11" s="53" t="s">
        <x:v>112</x:v>
      </x:c>
      <x:c r="B11" s="54" t="s">
        <x:v>113</x:v>
      </x:c>
      <x:c r="C11" s="54" t="str">
        <x:v>Elastic — MYCURE
scales cloud resources
on demand</x:v>
      </x:c>
      <x:c r="D11" s="54" t="str">
        <x:v>Requires MediCard
to provision infra
per batch</x:v>
      </x:c>
      <x:c r="E11" s="34"/>
      <x:c r="F11" s="34"/>
    </x:row>
    <x:row r="12" ht="45" customHeight="1">
      <x:c r="A12" s="13" t="s">
        <x:v>114</x:v>
      </x:c>
      <x:c r="B12" s="18" t="s">
        <x:v>115</x:v>
      </x:c>
      <x:c r="C12" s="18" t="str">
        <x:v>Managed access ends
when service stops</x:v>
      </x:c>
      <x:c r="D12" s="18" t="str">
        <x:v>Managed access ends
when service stops</x:v>
      </x:c>
      <x:c r="E12" s="34"/>
      <x:c r="F12" s="34"/>
    </x:row>
    <x:row r="13" ht="45" customHeight="1">
      <x:c r="A13" s="53" t="s">
        <x:v>116</x:v>
      </x:c>
      <x:c r="B13" s="54" t="s">
        <x:v>117</x:v>
      </x:c>
      <x:c r="C13" s="54" t="str">
        <x:v>MediCard wants
fully managed service
and MYCURE-hosted cloud</x:v>
      </x:c>
      <x:c r="D13" s="54" t="str">
        <x:v>MediCard wants
lowest scalable OPEX
and can host internally</x:v>
      </x:c>
      <x:c r="E13" s="34"/>
      <x:c r="F13" s="34"/>
    </x:row>
    <x:row r="14" ht="45" customHeight="1">
      <x:c r="A14" s="13" t="s">
        <x:v>118</x:v>
      </x:c>
      <x:c r="B14" s="18" t="s">
        <x:v>119</x:v>
      </x:c>
      <x:c r="C14" s="18" t="str">
        <x:v>Highest recurring;
hosting cost exposure;
strongest lock-in</x:v>
      </x:c>
      <x:c r="D14" s="18" t="str">
        <x:v>Predictable recurring;
less hosting exposure;
volume-discounted</x:v>
      </x:c>
      <x:c r="E14" s="34"/>
      <x:c r="F14" s="34"/>
    </x:row>
    <x:row r="15" ht="45" customHeight="1">
      <x:c r="A15" s="53" t="s">
        <x:v>120</x:v>
      </x:c>
      <x:c r="B15" s="54" t="s">
        <x:v>121</x:v>
      </x:c>
      <x:c r="C15" s="54" t="str">
        <x:v>Vendor dependency;
data residency concerns;
security-gated onboarding</x:v>
      </x:c>
      <x:c r="D15" s="54" t="str">
        <x:v>Infra maintenance
burden remains;
managed-service lock-in</x:v>
      </x:c>
      <x:c r="E15" s="34"/>
      <x:c r="F15" s="34"/>
    </x:row>
    <x:row r="16">
      <x:c r="A16" s="34"/>
      <x:c r="B16" s="34"/>
      <x:c r="C16" s="34"/>
      <x:c r="D16" s="34"/>
      <x:c r="E16" s="34"/>
      <x:c r="F16" s="34"/>
    </x:row>
    <x:row r="17">
      <x:c r="A17" s="34"/>
      <x:c r="B17" s="34"/>
      <x:c r="C17" s="34"/>
      <x:c r="D17" s="34"/>
      <x:c r="E17" s="34"/>
      <x:c r="F17" s="34"/>
    </x:row>
    <x:row r="18">
      <x:c r="A18" s="34"/>
      <x:c r="B18" s="34"/>
      <x:c r="C18" s="34"/>
      <x:c r="D18" s="34"/>
      <x:c r="E18" s="34"/>
      <x:c r="F18" s="34"/>
    </x:row>
    <x:row r="19">
      <x:c r="A19" s="34"/>
      <x:c r="B19" s="34"/>
      <x:c r="C19" s="34"/>
      <x:c r="D19" s="34"/>
      <x:c r="E19" s="34"/>
      <x:c r="F19" s="34"/>
    </x:row>
    <x:row r="20" ht="15.75" customHeight="1">
      <x:c r="A20" s="34"/>
      <x:c r="B20" s="34"/>
      <x:c r="C20" s="34"/>
      <x:c r="D20" s="34"/>
      <x:c r="E20" s="34"/>
      <x:c r="F20" s="34"/>
    </x:row>
    <x:row r="21" ht="15.75" customHeight="1">
      <x:c r="A21" s="34"/>
      <x:c r="B21" s="34"/>
      <x:c r="C21" s="34"/>
      <x:c r="D21" s="34"/>
      <x:c r="E21" s="34"/>
      <x:c r="F21" s="34"/>
    </x:row>
    <x:row r="22" ht="15.75" customHeight="1">
      <x:c r="A22" s="34"/>
      <x:c r="B22" s="34"/>
      <x:c r="C22" s="34"/>
      <x:c r="D22" s="34"/>
      <x:c r="E22" s="34"/>
      <x:c r="F22" s="34"/>
    </x:row>
    <x:row r="23" ht="15.75" customHeight="1">
      <x:c r="A23" s="34"/>
      <x:c r="B23" s="34"/>
      <x:c r="C23" s="34"/>
      <x:c r="D23" s="34"/>
      <x:c r="E23" s="34"/>
      <x:c r="F23" s="34"/>
    </x:row>
    <x:row r="24" ht="15.75" customHeight="1">
      <x:c r="A24" s="34"/>
      <x:c r="B24" s="34"/>
      <x:c r="C24" s="34"/>
      <x:c r="D24" s="34"/>
      <x:c r="E24" s="34"/>
      <x:c r="F24" s="34"/>
    </x:row>
    <x:row r="25" ht="15.75" customHeight="1">
      <x:c r="A25" s="34"/>
      <x:c r="B25" s="34"/>
      <x:c r="C25" s="34"/>
      <x:c r="D25" s="34"/>
      <x:c r="E25" s="34"/>
      <x:c r="F25" s="34"/>
    </x:row>
    <x:row r="26" ht="15.75" customHeight="1">
      <x:c r="A26" s="34"/>
      <x:c r="B26" s="34"/>
      <x:c r="C26" s="34"/>
      <x:c r="D26" s="34"/>
      <x:c r="E26" s="34"/>
      <x:c r="F26" s="34"/>
    </x:row>
    <x:row r="27" ht="15.75" customHeight="1">
      <x:c r="A27" s="34"/>
      <x:c r="B27" s="34"/>
      <x:c r="C27" s="34"/>
      <x:c r="D27" s="34"/>
      <x:c r="E27" s="34"/>
      <x:c r="F27" s="34"/>
    </x:row>
    <x:row r="28" ht="15.75" customHeight="1">
      <x:c r="A28" s="34"/>
      <x:c r="B28" s="34"/>
      <x:c r="C28" s="34"/>
      <x:c r="D28" s="34"/>
      <x:c r="E28" s="34"/>
      <x:c r="F28" s="34"/>
    </x:row>
    <x:row r="29" ht="15.75" customHeight="1">
      <x:c r="A29" s="34"/>
      <x:c r="B29" s="34"/>
      <x:c r="C29" s="34"/>
      <x:c r="D29" s="34"/>
      <x:c r="E29" s="34"/>
      <x:c r="F29" s="34"/>
    </x:row>
    <x:row r="30" ht="15.75" customHeight="1">
      <x:c r="A30" s="34"/>
      <x:c r="B30" s="34"/>
      <x:c r="C30" s="34"/>
      <x:c r="D30" s="34"/>
      <x:c r="E30" s="34"/>
      <x:c r="F30" s="34"/>
    </x:row>
    <x:row r="31" ht="15.75" customHeight="1">
      <x:c r="A31" s="34"/>
      <x:c r="B31" s="34"/>
      <x:c r="C31" s="34"/>
      <x:c r="D31" s="34"/>
      <x:c r="E31" s="34"/>
      <x:c r="F31" s="34"/>
    </x:row>
    <x:row r="32" ht="15.75" customHeight="1">
      <x:c r="A32" s="34"/>
      <x:c r="B32" s="34"/>
      <x:c r="C32" s="34"/>
      <x:c r="D32" s="34"/>
      <x:c r="E32" s="34"/>
      <x:c r="F32" s="34"/>
    </x:row>
    <x:row r="33" ht="15.75" customHeight="1">
      <x:c r="A33" s="34"/>
      <x:c r="B33" s="34"/>
      <x:c r="C33" s="34"/>
      <x:c r="D33" s="34"/>
      <x:c r="E33" s="34"/>
      <x:c r="F33" s="34"/>
    </x:row>
    <x:row r="34" ht="15.75" customHeight="1">
      <x:c r="A34" s="34"/>
      <x:c r="B34" s="34"/>
      <x:c r="C34" s="34"/>
      <x:c r="D34" s="34"/>
      <x:c r="E34" s="34"/>
      <x:c r="F34" s="34"/>
    </x:row>
    <x:row r="35" ht="15.75" customHeight="1">
      <x:c r="A35" s="34"/>
      <x:c r="B35" s="34"/>
      <x:c r="C35" s="34"/>
      <x:c r="D35" s="34"/>
      <x:c r="E35" s="34"/>
      <x:c r="F35" s="34"/>
    </x:row>
    <x:row r="36" ht="15.75" customHeight="1">
      <x:c r="A36" s="34"/>
      <x:c r="B36" s="34"/>
      <x:c r="C36" s="34"/>
      <x:c r="D36" s="34"/>
      <x:c r="E36" s="34"/>
      <x:c r="F36" s="34"/>
    </x:row>
    <x:row r="37" ht="15.75" customHeight="1">
      <x:c r="A37" s="34"/>
      <x:c r="B37" s="34"/>
      <x:c r="C37" s="34"/>
      <x:c r="D37" s="34"/>
      <x:c r="E37" s="34"/>
      <x:c r="F37" s="34"/>
    </x:row>
    <x:row r="38" ht="15.75" customHeight="1">
      <x:c r="A38" s="34"/>
      <x:c r="B38" s="34"/>
      <x:c r="C38" s="34"/>
      <x:c r="D38" s="34"/>
      <x:c r="E38" s="34"/>
      <x:c r="F38" s="34"/>
    </x:row>
    <x:row r="39" ht="15.75" customHeight="1">
      <x:c r="A39" s="34"/>
      <x:c r="B39" s="34"/>
      <x:c r="C39" s="34"/>
      <x:c r="D39" s="34"/>
      <x:c r="E39" s="34"/>
      <x:c r="F39" s="34"/>
    </x:row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mergeCells>
    <x:mergeCell ref="A1:D1"/>
  </x:mergeCells>
  <x:pageMargins left="0.7" right="0.7" top="0.75" bottom="0.75" header="0.3" footer="0.3"/>
</x:worksheet>
</file>